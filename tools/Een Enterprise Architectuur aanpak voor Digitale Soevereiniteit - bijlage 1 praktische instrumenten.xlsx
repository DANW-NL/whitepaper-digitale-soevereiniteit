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hidePivotFieldList="1"/>
  <mc:AlternateContent xmlns:mc="http://schemas.openxmlformats.org/markup-compatibility/2006">
    <mc:Choice Requires="x15">
      <x15ac:absPath xmlns:x15ac="http://schemas.microsoft.com/office/spreadsheetml/2010/11/ac" url="https://rdw-my.sharepoint.com/personal/melsenjo_rdw_nl/Documents/Documents/DANW/"/>
    </mc:Choice>
  </mc:AlternateContent>
  <xr:revisionPtr revIDLastSave="111" documentId="13_ncr:1_{AB0DD404-B17E-4805-BF60-8492ABABFD13}" xr6:coauthVersionLast="47" xr6:coauthVersionMax="47" xr10:uidLastSave="{F944435F-943C-4CA7-85BE-E708FA0E952A}"/>
  <bookViews>
    <workbookView xWindow="28680" yWindow="-8250" windowWidth="51840" windowHeight="21120" activeTab="1" xr2:uid="{00000000-000D-0000-FFFF-FFFF00000000}"/>
  </bookViews>
  <sheets>
    <sheet name="lees mij" sheetId="7" r:id="rId1"/>
    <sheet name="Dreigingen" sheetId="4" r:id="rId2"/>
    <sheet name="Dreigingsactoren" sheetId="12" r:id="rId3"/>
    <sheet name="Risk appetite" sheetId="6" r:id="rId4"/>
    <sheet name="Self-assessment" sheetId="11" r:id="rId5"/>
    <sheet name="Maatregelen" sheetId="14" r:id="rId6"/>
    <sheet name="Maatregeleffectiviteit" sheetId="8" r:id="rId7"/>
    <sheet name="Maatregeleffectiviteit (kort)" sheetId="9" r:id="rId8"/>
  </sheets>
  <definedNames>
    <definedName name="Score" localSheetId="4">'Self-assessment'!$F$3:$F$5</definedName>
    <definedName name="Score">#REF!</definedName>
  </definedNames>
  <calcPr calcId="191029" iterate="1" iterateCount="1000" iterateDelta="1E-4"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1" l="1"/>
  <c r="G9" i="11"/>
  <c r="H9" i="11"/>
  <c r="E10" i="11"/>
  <c r="G10" i="11"/>
  <c r="H10" i="11"/>
  <c r="E11" i="11"/>
  <c r="G11" i="11"/>
  <c r="H11" i="11"/>
  <c r="E12" i="11"/>
  <c r="G12" i="11"/>
  <c r="H12" i="11"/>
  <c r="E13" i="11"/>
  <c r="G13" i="11"/>
  <c r="H13" i="11"/>
  <c r="E14" i="11"/>
  <c r="G14" i="11"/>
  <c r="H14" i="11"/>
  <c r="E15" i="11"/>
  <c r="G15" i="11"/>
  <c r="H15" i="11"/>
  <c r="E8" i="11"/>
  <c r="H8" i="11"/>
  <c r="G8" i="11"/>
</calcChain>
</file>

<file path=xl/sharedStrings.xml><?xml version="1.0" encoding="utf-8"?>
<sst xmlns="http://schemas.openxmlformats.org/spreadsheetml/2006/main" count="773" uniqueCount="262">
  <si>
    <t>Dit bestand bevat hulpmiddelen om de digitale architect te helpen grip te krijgen op digitale soevereiniteitsvraagstukken</t>
  </si>
  <si>
    <t>Het tabblad "dreigingen" bevat een lijst met potentiële dreigingen, geordend naar potentiële soevereiniteitsdoelen conform het Cloud Sovereignty Framework van de Europese Commissie</t>
  </si>
  <si>
    <t>Het tabblad "risk appetite model" kan helpen om voor de organisatie een risicohouding te bepalen</t>
  </si>
  <si>
    <t>Het tabblad "maatregelen uitgebreid" sluit aan bij de potentiële dreigingen van het tabblad "dreigingen."  Het benoemt per potentiële categorie maatregelen het type risicorespons:
- Sturen: preventieve maatregelen die bestaan uit het maken van expliciete contractuele keuzen voor opties die positief bijdragen aan digitale soevereiniteit;
- Vermijden: de dreiging zou niet meer relevant moeten zijn, indien de juiste maatregelen worden genomen;
- Verminderen: de dreiging blijft relevant indien de juiste maatregelen worden genomen, maar de daaraan verbonden risico's worden verkleind.</t>
  </si>
  <si>
    <t>Het tabblad "maatregelen samengevat" aggregeert de potentiële maatregelen per categorie en per soevereiniteitsdoel:
- De waarde "H" geeft aan dat de bijdrage hoog is;
- De waarde "M" geeft aan dat de bijdrage gedeeltelijk (middelgroot) is.</t>
  </si>
  <si>
    <t>Sovereignty Objective</t>
  </si>
  <si>
    <t>Sovereignty Objective Description</t>
  </si>
  <si>
    <t>Dreigingstype</t>
  </si>
  <si>
    <t>Voorbeelden van dreigingen</t>
  </si>
  <si>
    <t>SOV-1 Strategic Sovereignty</t>
  </si>
  <si>
    <t>Strategic sovereignty captures the degree to which the services of a cloud
provider (or technology actor) are anchored within the European Union
legal, financial, and industrial ecosystem. It assesses ownership stability,
governance influence, and alignment with EU strategic priorities.</t>
  </si>
  <si>
    <t>Organisatie heeft te weinig invloed op de dienstverlening;
Politieke beïnvloeding via dienstverlening;
Discontinuïteit in de taakuitoefening van de organisatie</t>
  </si>
  <si>
    <t>SOV-2 Legal &amp; Jurisdictional Sovereignty</t>
  </si>
  <si>
    <t>Legal &amp; Jurisdictional sovereignty evaluates the legal environment,
exposure to foreign authority, and enforceability of rights that govern
the services of a technology provider. It determines the extent to which
the services are anchored in European jurisdiction and insulated from
external legal claims.</t>
  </si>
  <si>
    <t>Niet-uitvoerbaar eigen recht;
Toepasselijkheid van vreemd recht dat niet verenigbaar is met het eigen recht</t>
  </si>
  <si>
    <t>SOV-3 Data &amp; AI Sovereignty</t>
  </si>
  <si>
    <t>Data &amp; AI sovereignty focuses on the protection, control, and
independence of data assets and AI services within the EU. It addresses
how data is secured, where it is processed, and the degree of autonomy
customers retain over AI capabilities.</t>
  </si>
  <si>
    <t>Onvoldoende  grip op data-integriteit;
Gebrekkige data governance;
Onvoldoende grip op werking van AI;
Gebrekkige AI governance;
Verlies van vertrouwen;
Onrechtmatigheid;
Toepasselijkheid van vreemd recht dat niet verenigbaar is met het eigen recht</t>
  </si>
  <si>
    <t>SOV-4 Operational Sovereignty</t>
  </si>
  <si>
    <t>Operational sovereignty measures the practical ability of EU actors to
run, support, and evolve a technology independently of foreign
control. It focuses on continuity of operations, skill availability, and
resilience against external dependencies.</t>
  </si>
  <si>
    <t>Ondermijning van de eigen taakuitoefening;
Ondermijning van het eigen bestaansrecht</t>
  </si>
  <si>
    <t>SOV-5 Supply Chain Sovereignty</t>
  </si>
  <si>
    <t>Supply chain sovereignty evaluates the geographic origin,
transparency, and resilience of the technology supply chain, focusing
on the extent to which critical components and processes remain under
EU control or exposed to non-EU dependencies.</t>
  </si>
  <si>
    <t>Onredelijke prijsverhogingen;
Discontinuïteit van toeleveringen;
Discontinuïteit van de eigen taakuitoefening</t>
  </si>
  <si>
    <t>SOV-6 Technology Sovereignty</t>
  </si>
  <si>
    <t>Technology sovereignty evaluates the degree of openness,
transparency, and independence in the underlying technological
stack, ensuring EU actors can interoperate, audit, and evolve solutions
without lock-in to foreign proprietary systems.</t>
  </si>
  <si>
    <t>Instandhouding/vergroting van afhankelijkheden;
Lock-in/monocultuur</t>
  </si>
  <si>
    <t>SOV-7 Security &amp; Compliance Sovereignty</t>
  </si>
  <si>
    <t>Security &amp; Compliance sovereignty measures the extent to which
security operations, compliance obligations, and resilience measures
are controlled within the EU, ensuring independence from foreign
jurisdictions and long-term operational assurance.</t>
  </si>
  <si>
    <t>Spionage;
Datalek/diefstal;
Gebrek aan controleerbaarheid</t>
  </si>
  <si>
    <t>SOV-8 Environmental Sustainability</t>
  </si>
  <si>
    <t>Environmental sustainability assesses autonomy and resilience of cloud
services over the long term in relation to energy usage, dependency and
raw material scarcity.</t>
  </si>
  <si>
    <t>Niet-duurzaam middelengebruik</t>
  </si>
  <si>
    <t>Kolom1</t>
  </si>
  <si>
    <t>I</t>
  </si>
  <si>
    <t>2</t>
  </si>
  <si>
    <t>3</t>
  </si>
  <si>
    <t>4</t>
  </si>
  <si>
    <t>5</t>
  </si>
  <si>
    <t>Catagory of Risk</t>
  </si>
  <si>
    <t>Averse</t>
  </si>
  <si>
    <t xml:space="preserve">Minimalist </t>
  </si>
  <si>
    <t xml:space="preserve">Afgewogen </t>
  </si>
  <si>
    <t xml:space="preserve">Ontvankelijk </t>
  </si>
  <si>
    <t>Hungry</t>
  </si>
  <si>
    <t>Het vermijden van risico's en onzekerheden is cruciaal in relatie tot de visie en taak van de organisatie</t>
  </si>
  <si>
    <t>Risico's moeten altijd beperkt blijven</t>
  </si>
  <si>
    <t>Risico's zijn soms acceptabel maar dienen altijd verkleind te worden</t>
  </si>
  <si>
    <t>Goede business cases omvatten ook risicobeheersing</t>
  </si>
  <si>
    <t>Goede business cases zijn leidend</t>
  </si>
  <si>
    <t>Autonomie
SOV-1 Strategic Sovereignty</t>
  </si>
  <si>
    <t>Dienstverleners: strikte en directe aansturing, mogen niet beïnvloedbaar zijn door vreemde mogendheden;
Druk/beïnvloeding van buitenaf wordt niet getolereerd;
Afwijkingen van NL/EU-recht worden niet geaccepteerd;</t>
  </si>
  <si>
    <t xml:space="preserve">De organisatie selecteert geen dienstverleners die wegens hun houding of context tot druk of beïnvloeding van de organisatie kunnen leiden. Er mogen situaties voorkomen waarin dit principe wordt losgelaten, mits eventuele issues direct opgelost kunnen worden. </t>
  </si>
  <si>
    <t>De organisatie houdt bij selectie van dienstverleners rekening met mogelijkheden tot sterke (directe of indirecte) invloed op die dienstverlening en de context waarbinnen die wordt geleverd, zodat de effecten van eventuele, onwenselijke ontwikkelingen tot acceptabele vormen worden verkleind.</t>
  </si>
  <si>
    <t>De organisatie accepteert een beperkte invloed op externe dienstverlening en haar context vanwege de directe waarde van de dienstverlening voor de organisatie. Ze zorgt daarbij wel voor beschermende maatregelen tegen eventuele negatieve invloed door derden.</t>
  </si>
  <si>
    <t>De organisatie accepteert dat ze geen invloed heeft op externe dienstverlening en haar context, ten gunste van de directe waarde die de dienstverlening aan de organisatie levert.</t>
  </si>
  <si>
    <t>Betrouwbaarheid en geloofwaardigheid
SOV-3 Data &amp; AI
SOV-7 Security &amp; Compliance</t>
  </si>
  <si>
    <t>De betrouwbaarheid en geloofwaardigheid van de organisatie mag op geen enkele manier kunnen worden aangetast;
Alle informatieverwerking moet voldoen aan de strengste eisen voor betrouwbaarheid en uitlegbaarheid;
Strikt eigen toezicht op security en compliance, ook op diensten van externe dienstverleners.</t>
  </si>
  <si>
    <t>De betrouwbaarheid en geloofwaardigheid van de organisatie mag niet worden geschaad. Daarbuiten zijn risico's t.a.v. data, informatiebeveiligin en compliance beperkt acceptabel;
Dat betekent dat op de kerntaak strikt en streng wordt gestuurd, en daarbuiten iets minder streng.</t>
  </si>
  <si>
    <t>De kans dat de betrouwbaarheid en geloofwaardigheid van de organisatie worden geschaad moet klein zijn. De organisatie moet haar aansprakelijkheid in die gevallen succesvol kunnen verdedigen.</t>
  </si>
  <si>
    <t>Er mogen risico's worden genomen dat de betrouwbaarheid en geloofwaardigheid van de organisatie worden geschaad, maar alleen als de verwachte kans en impact daarvan zijn verminderd door tegenmaatregelen.</t>
  </si>
  <si>
    <t>Er mogen risico's worden genomen dat de betrouwbaarheid en geloofwaardigheid van de organisatie worden geschaad, als de verwachte voordelen van een keuze of initiatief groot zijn.</t>
  </si>
  <si>
    <t>Compliance
SOV-2 Legal &amp; Jurisdictional</t>
  </si>
  <si>
    <t>Iedere mogelijke juridische ambiguïteit in overeenkomsten met externe dienstverleners wordt vermeden, zodat eventuele juridische geschillen altijd in het voordeel van de organisatie uitvallen. Het moet volstrekt duidelijk zijn, dat het NL/EU-recht altijd leidend is.</t>
  </si>
  <si>
    <t>Er moet zekerheid zijn dat eventuele juridische geschillen in het voordeel van de organisatie uitvallen. Mogelijke juridische ambiguïteit moet hierop zijn beoordeeld. Als er een kans is dat een beroep op vreemd recht wordt gedaan, mag dit de NL/EU-compliance niet compromitteren.</t>
  </si>
  <si>
    <t>Er moet een grote kans zijn dat eventuele juridische geschillen in het voordeel van de organisatie uitvallen. Dat geldt zowel in de beschouwing van het toepasselijke recht, als van de formuleringen in overeenkomsten.</t>
  </si>
  <si>
    <t>De organisatie accepteert het risico van een eventueel juridisch geschil dat in het nadeel uitvalt, als dat nadeel lager is dan de verwachte voordelen van de overeenkomst.</t>
  </si>
  <si>
    <t>Juridische geschillen kunnen worden verloren, dat hoort erbij. Als ze worden gewonnen, dan zijn dat meevallers. Overeenkomsten dienen vooral de directe voordelen, uitspraken in het nadeel van de organisatie worden dan wel opgelost.</t>
  </si>
  <si>
    <t>Operationele continuïteit
SOV-4 Operations
SOV-5 Supply Chain</t>
  </si>
  <si>
    <t>Strikte en directe sturing op alles wat nodig is voor de taakuitoefening;
Alle kennis en competenties in huis willen houden;
Strikte risicobeheersing op alles wat de taakuitoefening zou kunnen schaden;
Afhankelijkheden van dienstverleners en toeleveranciers worden gezien als onacceptabele risico's, waarvoor de mitigerende maatregelen op orde moeten zijn.</t>
  </si>
  <si>
    <t>Delegatie van taken aan dienstverleners is alleen mogelijk waar de risco's voor de taakuitoefening heel klein zijn, dus waar schadeherstel door de organisatie weinig impact heeft;
Afhankelijkheden van toeleveranciers dienen te worden beperkt, zodat er bij een eventuele overstap geen negatieve effecten zijn.</t>
  </si>
  <si>
    <t>Delegatie van taken aan dienstverleners is mogelijk waar die uitbesteding geen risico vormt voor vermindering van de eigen kunde en vaardigheid. Dit dient wel onder direct toezicht van de eigen organisatie te gebeuren;
Afhankelijkheden van toeleveranciers zijn acceptabel, als de negatieve effecten van een eventuele overstap beperkt blijven.</t>
  </si>
  <si>
    <t>Delegatie van taken aan dienstverleners wordt geaccepteerd om daaruit gerichte voordelen te behalen, bijvoorbeeld in ontwikkeling en innovatie. De organisatie acht een regierol voldoende voor sturing en toezicht;
Afhankelijkheden van toeleveranciers zijn acceptabel, als aan voorwaarden op hoofdlijnen wordt voldaan.</t>
  </si>
  <si>
    <t>Delegatie van taken aan dienstverleners is een manier om voordelen te behalen. Betrouwbare dienstverleners mogen hun taken zelfstandig doen;
Afhankelijkheden van toeleveranciers zijn acceptabel.</t>
  </si>
  <si>
    <t>Toekomstvastheid
SOV-6 Technology
SOV-8 Environmental Sustainability</t>
  </si>
  <si>
    <t>Vervangbaarheid van externe dienstverlening is op voorhand georganiseerd;
Er moet strikt worden voldaan aan alle standaarden voor vervangbaarheid en integratie, afwijkingen worden niet toegestaan.</t>
  </si>
  <si>
    <t>Afwijkingen van standaarden voor vervangbaarheid en integratie zijn alleen toegestaan, waar negatieve gevolgen voor de organisatie zeer klein en eenvoudig herstelbaar zijn;
Als externe dienstverlening essentieel is voor de kerntaak, dan is vervangbaarheid op voorhand georganiseerd. Daarbuiten dient een eventuele vervanging te kunnen worden georganiseerd zonder negatieve effecten voor de organisatie.</t>
  </si>
  <si>
    <t>Afwijkingen van standaarden voor vervangbaarheid en integratie zijn alleen toegestaan, als de effecten daarvan klein zullen zijn;
Waar vervangbaarheid van externe dienstverlening niet op voorhand is georganiseerd, dient eventuele vervanging een lage impact voor de organisatie te hebben.</t>
  </si>
  <si>
    <t>Afwijkingen van standaarden voor vervangbaarheid en integratie zijn toegestaan in situaties met duidelijke voordelen, maar alleen als de verwachte kans en impact daarvan zijn verminderd door tegenmaatregelen.
Hetzelfde geldt voor vervangbaarheid van externe dienstverlening.</t>
  </si>
  <si>
    <t>Afwijkingen van standaarden voor vervangbaarheid en integratie zijn toegestaan, waar de nadelen daarvan kleiner zijn dan de voordelen van de andere keuze;
Vervangbaarheid van externe dienstverlening is geen doel.</t>
  </si>
  <si>
    <t>Risicocategorie</t>
  </si>
  <si>
    <t>Self-assessment onderwerp</t>
  </si>
  <si>
    <t>IST</t>
  </si>
  <si>
    <t>SOLL</t>
  </si>
  <si>
    <t>Score</t>
  </si>
  <si>
    <t>Omschrijving</t>
  </si>
  <si>
    <t>Niet/nauwelijks</t>
  </si>
  <si>
    <t>Deels</t>
  </si>
  <si>
    <t>Volledig</t>
  </si>
  <si>
    <t xml:space="preserve">Is er actieve opvolging van non-conformiteiten met (eigen/sectorale/nationale/internationale) digitale soevereiniteitsdoelen? </t>
  </si>
  <si>
    <t>Soevereiniteitsdoel</t>
  </si>
  <si>
    <t>Dreiging    \   Maatregelcategorie</t>
  </si>
  <si>
    <t>Uitbesteding</t>
  </si>
  <si>
    <t>Opdrachtgeverschap</t>
  </si>
  <si>
    <t>Coalitievorming</t>
  </si>
  <si>
    <t>Gegevens- en informatiebeheer</t>
  </si>
  <si>
    <t xml:space="preserve">Gegevensverwerking </t>
  </si>
  <si>
    <t>Zero trust</t>
  </si>
  <si>
    <t>AI-governance</t>
  </si>
  <si>
    <t>Vervanging</t>
  </si>
  <si>
    <t>Open source</t>
  </si>
  <si>
    <t>Open standaarden</t>
  </si>
  <si>
    <t>Boycot: dienstverlener sluit toegang tot IT-diensten geheel of partieel af</t>
  </si>
  <si>
    <t>sturen</t>
  </si>
  <si>
    <t>verminderen</t>
  </si>
  <si>
    <t> </t>
  </si>
  <si>
    <t>Embargo: vreemde mogendheid dwingt dienstverlener tot onderbreken/stoppen van dienstverlening</t>
  </si>
  <si>
    <t>Non-conformiteit: dienstverlener wijkt in zijn diensten of plannen af van de  strategische doelen van de organisatie of van de EU</t>
  </si>
  <si>
    <t>vermijden</t>
  </si>
  <si>
    <t>Onmacht: dienstverlener is te dominant om te kunnen beïnvloeden</t>
  </si>
  <si>
    <t>Non-compliance: dienstverlener is niet via EU wet- en regelgeving aan de  plichten of doelen van de organisatie te binden</t>
  </si>
  <si>
    <t>Druk: politieke beïnvloeding/sturing van personeel van dienstverleners of de organisatie zelf</t>
  </si>
  <si>
    <t>Rechteloosheid: wet- en regelgeving ontbreekt, is ineffectief, of wordt niet gehandhaafd</t>
  </si>
  <si>
    <t>Non-compliance: vreemde mogendheid kan dienstverlener dwingen te handelen in strijd met EU-wetgeving; dienstverlener voert rechten van de organisatie of zijn betrokennen niet uit</t>
  </si>
  <si>
    <t>Concurrerend recht: dienstverlener of een onderaannemer zijn (mede) onderhevig aan niet-EU-wetgeving, waardoor het eigen recht niet of minder effectief kan worden toegepast</t>
  </si>
  <si>
    <t>Slechte belangenbehartiging: ongunstige contractvoorwaarden vanwege afhankelijkheid van dominante marktpartijen; onvoldoende contractuele mogelijkheden hebben om dienstverleners te dwingen tot compliance met Europese/nationale wet- en regelgeving</t>
  </si>
  <si>
    <t>Desinformatie: verspreiden/tonen van gemanipuleerde informatie in plaats van feitelijke, herleidbare informatie</t>
  </si>
  <si>
    <t>Manipulatie: bias in uitkomsten door zoek- en navigatiesystemen van dominante marktpartijen</t>
  </si>
  <si>
    <t>Niet-herleidbare uitkomsten: gebrek aan transparantie of onderbouwing van modellen en algoritmen</t>
  </si>
  <si>
    <t>Censuur:  weglating van informatie, beperking van dataverwerking en/of filtering van uitkomsten</t>
  </si>
  <si>
    <t>Geschiedvervalsing: (selectieve) onrechtmatige vernietiging van data</t>
  </si>
  <si>
    <t>Non-compliance: onrechtmatig gebruik van data, schending van auteursrechten/(intellectueel) eigendom; data-opslag buiten de toegestane locaties (EER, NL)</t>
  </si>
  <si>
    <t>Zijsturing: inmenging door dienstverleners met bedrijfsvoering van de organisatie; eigen doelen en waarden/normen staan hierdoor onder druk;</t>
  </si>
  <si>
    <t>Concurrentie: dominante marktpartijen nemen (delen van) primaire of ondersteunende taken over;</t>
  </si>
  <si>
    <t xml:space="preserve">Uitholling: afhankelijkheid van externe partijen op essentiële kennisgebieden door uitbesteding of automatisering; </t>
  </si>
  <si>
    <t>Operationele afhankelijkheid/lock-in: niet-vervangbare generieke/kritische diensten; monocultuur/hoge afhankelijkheid van één dienstverlener voor generieke/kritische diensten;</t>
  </si>
  <si>
    <t>Middelenschaarste: geen slagkracht om afhankelijkheden te verminderen; hoge afhankelijkheid van externe diensten</t>
  </si>
  <si>
    <t>Chantage: statelijke/commerciële partij dwingt onwenselijke voorwaarden af vanwege machtspositie in levering van grondstoffen;</t>
  </si>
  <si>
    <t>Boycot: dienstverlener sluit toegang tot IT-diensten geheel of partieel af;</t>
  </si>
  <si>
    <t>Aanbieder bepaalt prijs: dienstverlener misbruikt kritische afhankelijkheid door onredelijke prijsverhogingen</t>
  </si>
  <si>
    <t>Aanbieder bepaalt prijs: marktdominantie wordt omgezet in woekerprijzen;</t>
  </si>
  <si>
    <t>Lock-in: dienstverleners hanteren gesloten IT-architectuur (lock-in), gebaseerd op eigen specificaties ipv open standaarden; de organisatie ziet/heeft geen mogelijkheden dit te doorbreken;</t>
  </si>
  <si>
    <t>Monocultuur: dienstverlener verleidt/stuurt de organisatie naar een monocultuur (geïntegreerde dienstverlening);</t>
  </si>
  <si>
    <t>Marktdominantie: aanbodverschraling, vorming van techgiganten waardoor keuzemogelijkheden wegvallen of ontbreken;</t>
  </si>
  <si>
    <t>Non-compliance: dienstverlener houdt zich niet aan verplichte of wenselijke standaarden</t>
  </si>
  <si>
    <t>Datalek/schending vertrouwelijkheid: statelijke actor/dienstverlener verschaft zich toegang tot data;</t>
  </si>
  <si>
    <t>Diefstal: statelijke actor/dienstverlener eigent zich data toe (diefstal);</t>
  </si>
  <si>
    <t>Spionage: via (virtuele) apparatuur of diensten;</t>
  </si>
  <si>
    <t>Niet-herleidbaarheid:  onvoldoende inzicht en controlemaatregelen op (AI-)algoritmen</t>
  </si>
  <si>
    <t>Non-conformiteit: dienstverlener doet minder moeite voor duurzaamheid dan organisatie wil;</t>
  </si>
  <si>
    <t>Non-compliance: dienstverlener voldoet niet aan minimale duurzaamheidseisen</t>
  </si>
  <si>
    <t>Maatregelcategorie</t>
  </si>
  <si>
    <t>Gegevensverwerking</t>
  </si>
  <si>
    <t>H</t>
  </si>
  <si>
    <t>M</t>
  </si>
  <si>
    <t>Bevinden de organen die zeggenschap over diensten hebben zich binnen de eigen jurisdictie?</t>
  </si>
  <si>
    <t>Zijn er zekerheden/bescherming tegen wijziging van zeggenschap?</t>
  </si>
  <si>
    <t>Komt de financiering van dienstverleners en leveranciers uit de eigen jurisdictie?</t>
  </si>
  <si>
    <t>Vinden investeringen en creatie van werkgelegenheid en waarde plaats binnen de eigen jurisdictie?</t>
  </si>
  <si>
    <t>Is er betrokkenheid bij initiatieven uit de eigen jurisdictie op het vlak van digitalisering, duurzaamheid en economische ontwikkeling?</t>
  </si>
  <si>
    <t>Is veilige voortzetting van taken geborgd bij (dreigende) onderbreking/afsluiting van diensten en producten, of de ondersteuning daarop?</t>
  </si>
  <si>
    <t>Vallen contracten en leveringen van producten en diensten onder de eigen (nationale) wetgeving?</t>
  </si>
  <si>
    <t>Is er blootstelling aan niet-EU wetgeving met grensoverschrijdende werking (zoals de CLOUD wet van de VS of de Chinese Cybersecurity wet)?</t>
  </si>
  <si>
    <t>Bestaan er juridische, contractuele of technische wijzen waarlangs vreemde mogendheden toegang tot data of systemen zouden kunnen afdwingen?</t>
  </si>
  <si>
    <t>Zijn er internationale regimes van toepassing die gebruik of overdracht zouden kunnen belemmeren?</t>
  </si>
  <si>
    <t>Vallen creatie, registratie, ontwikkeling en juridische bescherming van intellectuele eigendommen binnen de eigen jurisdictie?</t>
  </si>
  <si>
    <t>Ligt de effectieve zeggenschap over cryptografische toegang tot de eigen data bij de eigen organisatie, dus niet bij de dienstverlener of leverancier?</t>
  </si>
  <si>
    <t>Is inzichtelijk wie, waar en wanneer datatoegang wordt verkregen?</t>
  </si>
  <si>
    <t>Is het gebruik van AI modellen auditeerbaar?</t>
  </si>
  <si>
    <t>Zijn er mechanismen voor onomkeerbare en aantoonbare verwijdering van data?</t>
  </si>
  <si>
    <t>Is opslag en verwerking van data strikt beperkt tot de eigen jurisdictie, zonder mogelijke uitstapjes daarbuiten?</t>
  </si>
  <si>
    <t>Worden AI modellen en data pipelines ontwikkeld, getraind, gehost en beheerd onder juridisch toezicht volgens de eigen jurisdictie?</t>
  </si>
  <si>
    <t>Hebben AI modellen en data pipelines een minimale afhankelijkheid van technology stacks van buiten de eigen jurisdictie?</t>
  </si>
  <si>
    <t>Zijn workloads eenvoudig te migreren naar of te integreren met oplossingen die vallen onder de eigen jurisdictie, zonder vendor lock-in?</t>
  </si>
  <si>
    <t>Is het mogelijk de technologie te beheren, onderhouden en ondersteunen zonder de noodzaak om leveranciers van buiten de eigen jurisdictie te betrekken?</t>
  </si>
  <si>
    <t>Is er voldoende competentie/capaciteit binnen de eigen jurisdictie voor het operationeel houden van diensten?</t>
  </si>
  <si>
    <t xml:space="preserve">Is geborgd dat operationele ondersteuning wordt geleverd vanuit de eigen jurisdictie en dat deze exclusief valt onder de eigen (nationale, EU) juridische raamwerken? </t>
  </si>
  <si>
    <t>Is lange-termijn autonomie geborgd door volledige beschikbaarheid van technische documentatie, broncode en operationele know-how?</t>
  </si>
  <si>
    <t>Valt de locatie en het juridisch kader van kritische leveranciers of subcontractors voor dienstverleners binnen de eigen (nationale, EU) grenzen?</t>
  </si>
  <si>
    <t>Valt binnen de eigen geografie: belangrijke fysieke onderdelen, productielocatie - landen waar hardware wordt gefabriceerd of geassembleerd?</t>
  </si>
  <si>
    <t>Valt binnen de eigen geografie en jurisdictie: ingebedde code die hardware aanstuurt, firmware?</t>
  </si>
  <si>
    <t>Vallen binnen de eigen geografie en jurisdictie de locaties en organisaties die: software ontwerpen en programmeren, verpakken, distribueren en updaten?</t>
  </si>
  <si>
    <t>Is er afhankelijkheid van leveranciers, faciliteiten of technologieën van buiten de eigen geografie en jurisdictie?</t>
  </si>
  <si>
    <t>Is er inzicht in de gehele toeleverings- en onderleveranciersketen, inclusief
auditrechten?</t>
  </si>
  <si>
    <t>Is er (per oplossing) mogelijkheid tot integratie met andere technologieën via goed gedocumenteerde en niet-propriëtaire API's of protocollen?</t>
  </si>
  <si>
    <t>Werken oplossingen met publiekelijk gereguleerde en breed geaccepteerde standaarden, waardoor de afhankelijkheid van individuele leveranciers wordt verminderd?</t>
  </si>
  <si>
    <t>Is software toegankelijk onder open licenties, met rechten om te controleren, te wijzigen en te herdistribueren? Zijn aanpasbaarheid en transparantie aldus geborgd?</t>
  </si>
  <si>
    <t>Is er inzicht in het ontwerp en de werking van de dienst, inclusief architectuurdocumentatie, gegevensstromen en afhankelijkheden?</t>
  </si>
  <si>
    <t>Valt binnen de eigen geografie en jurisdictie: afhankelijkheid in hoogwaardige computercapaciteiten, inclusief processors, accelerators en software-ecosystemen?</t>
  </si>
  <si>
    <t>Werken dienstverleners en leveranciers volgens EU- en internationaal erkende certificeringen (bijv. ISO- en ENISA-schema's)?</t>
  </si>
  <si>
    <t>Worden geldende EU-kaders zoals AVG, NIS2, DORA nageleefd?</t>
  </si>
  <si>
    <t>Vallen binnen de eigen jurisdictie: beveiligingsoperatiecentra en responsteam, de zeggenschap en mogelijkheid voor de klant of EU-autoriteit om logboeken, waarschuwingen en monitoringfuncties rechtstreeks te controleren?</t>
  </si>
  <si>
    <t>Is sprake van transparante, tijdige en rapportage van inbreuken of
kwetsbaarheden die voldoet aan de eigen juridische kaders, autonomie voor onderhoud - mogelijkheid om beveiligingspatches te ontwikkelen, te testen en toe te passen, onafhankelijk van leveranciers van buiten de eigen jurisdictie?</t>
  </si>
  <si>
    <t>Is er de mogelijkheid om onafhankelijke beveiligings- en compliance-audits met volledige toegang uit te voeren, ook voor instanties die vallen onder het nationale/EU gezag?</t>
  </si>
  <si>
    <t>Wordt energiezuinige infrastructuur (bijv. lage PUE) toegpast en zijn er 
meetbare verbeteringsdoelstellingen?</t>
  </si>
  <si>
    <t>Worden circulaire economiepraktijken toegepast die hergebruik, revisie en verantwoorde verwerking van hardware aan het einde van de levensduur garanderen?</t>
  </si>
  <si>
    <t>Vinden transparante meting en openbaarmaking plaats van koolstofemissies, waterverbruik en andere duurzaamheidsindicatoren?</t>
  </si>
  <si>
    <t>Motivatietype</t>
  </si>
  <si>
    <t>Dreigingsactor</t>
  </si>
  <si>
    <t>Idealisme</t>
  </si>
  <si>
    <t>Financieel gewin</t>
  </si>
  <si>
    <t>Uitdaging (Thrill)</t>
  </si>
  <si>
    <t>Statelijke actor</t>
  </si>
  <si>
    <t>•	Aanvallers zoeken spanning, uitdaging of status
•	Vaak “hackers” die willen bewijzen dat ze iets kunnen
•	Niet primair uit op schade of financiële winst
•	 Voorbeeld: systemen kraken “omdat het kan”</t>
  </si>
  <si>
    <t>•	Aanvallen gebaseerd op politieke, sociale of ethische overtuigingen
•	Vaak gelinkt aan hacktivism
•	Voorbeeld:
•	Aanvallen op bedrijven om milieu- of privacyredenen
•	DDoS-acties als protest</t>
  </si>
  <si>
    <t>•	Meest voorkomende categorie tegenwoordig
•	Gericht op geld verdienen
•	Voorbeelden:
•	Ransomware
•	Fraude / phishing
•	Datalekken verkopen</t>
  </si>
  <si>
    <t>•	Aanvallen uitgevoerd of gesteund door staten
•	Gericht op spionage, sabotage of geopolitieke invloed
•	Voorbeelden:
•	Cyber espionage
•	Aanvallen op kritieke infrastructuur
•	Informatie-oorlogvoering</t>
  </si>
  <si>
    <t>Actor 1</t>
  </si>
  <si>
    <t>Actor 2</t>
  </si>
  <si>
    <t>Definitie</t>
  </si>
  <si>
    <t xml:space="preserve">Het laten vervullen van taken, processen of bedrijfsfuncties door en onder verantwoordelijkheid van een externe partij, waarbij de rol van de eigen organisatie wordt teruggebracht tot die van opdrachtgever en regisseur. Het typische onderscheid tussen uitbesteding en opdrachtgeverschap is, dat in het geval van uitbesteding een significante, structurele afhankelijkheid bestaat van capabilities van een externe partij. </t>
  </si>
  <si>
    <t>Samenwerking en gezamenlijke vertegenwoordiging op grond van gedeelde belangen.</t>
  </si>
  <si>
    <t>Voorbeelden van maatregelen</t>
  </si>
  <si>
    <t>Effectiviteit</t>
  </si>
  <si>
    <t>Soevereiniteitsdoelen</t>
  </si>
  <si>
    <t xml:space="preserve">Het uitvoeren van taken, processen of bedrijfsfuncties door en onder verantwoordelijkheid van de organisatie zelf, met gebruikmaking van diensten van andere organisaties (business partners, ketenpartners, dienstverleners). </t>
  </si>
  <si>
    <t>Het geheel aan maatregelen (van governance tot technologie) gericht op het beheren en beheersen van gegevens en informatie, in al hun verschijningsvormen.</t>
  </si>
  <si>
    <t>Het geheel aan bestaande en mogelijke verwerkingen van gegevens en informatie, die in eigendom zijn en worden beheerd onder verantwoordelijkheid van de organisatie. Maatregelen op dit vlak zijn gericht op het voldoen aan wet- en regelgeving.</t>
  </si>
  <si>
    <t>Met deze term duiden we de maatregelen gericht op controle over de toegang en het (potentiële) gebruik van gegevens en informatie.</t>
  </si>
  <si>
    <t>Het geheel aan maatregelen (van governance tot technologie) gericht op controle over de inzet van AI-toepassingen en AI-modellen, de daarin gebruikte algoritmen, gegevens en informatie. Aantoonbaarheid, herleidbaarheid, gegevens- en informatiebescherming (waaronder bijvoorbeeld de beperking van training van externe modellen met eigen data) zijn daarin essentiële aspecten.</t>
  </si>
  <si>
    <t>Een dienst of product vervangen door een ander(e). Omdat de vervanging zelf een grote inspanning kan zijn, behoren tot deze categorie ook maatregelen ter bevordering van de vervangbaarheid en portabiliteit.</t>
  </si>
  <si>
    <t>Software inzetten of (laten) ontwikkelen waarvan de broncode vrijelijk deelbaar, overdraagbaar en herbruikbaar is.</t>
  </si>
  <si>
    <t>Afspraken die bijdragen aan interoperabiliteit tussen diensten of componenten van verschillende aanbieders.</t>
  </si>
  <si>
    <t>Beperking van uitbesteding, 
Strategische sourcing (geen bedrijfskritische capabilities, geografische spreiding), 
Andere vormen van sourcing (near-sourcing, in-sourcing), 
Versterking regie- en opdrachtgeversrol (meer dan één opdrachtnemer aannemen, directere aansturing, auditing, leveranciers- en contractmanagement), 
Borging van een exit strategie.</t>
  </si>
  <si>
    <t>Lobbyen, 
Deelname aan gebruikersgroepen, 
Gezamenlijke inkoop, 
Gezamenlijke opdrachtverstrekking, 
Onderlinge dienstverlening.</t>
  </si>
  <si>
    <t>Opslag in eigen beheer, 
Archivering in eigen beheer of bij een betrouwbare dienstverlener, 
Via classificatie bijdragen aan hoe en door wie gegevens en informatie verwerkt mogen worden.</t>
  </si>
  <si>
    <t>Via applicaties borgen dat aan registratie-, informatie-, verantwoordingsverplichtingen etc. van de wetgever en/of toezichthouders wordt voldaan. 
Idem voor rechten van betrokkenen (privacy).</t>
  </si>
  <si>
    <t>Autorisatie, 
Data segmentering, 
Logisch toegangsbeheer, 
Zelf sleutelbeheer uitvoeren, 
Beperking van externe (support) toegang.</t>
  </si>
  <si>
    <t>AI-risicoclassificatie, 
Onafhankelijke risicobeoordeling van (voorgenomen) AI-toepassingen, 
Geen training van externe AI-modellen toestaan, 
In-house AI-capability.</t>
  </si>
  <si>
    <t>Vervangbaarheid van een dienstverlener, dienst, IT-platform, bedrijfsapplicatie. 
Portabiliteit naar alternatieve infrastructuur, overdraagbaarheid van softwarecode, data.</t>
  </si>
  <si>
    <t>De grootste effectiviteit in deze categorie maatregelen is te verwachten van de (strategische) keuzen die onderdeel zijn van de uitbesteding zelf. Daarnaast helpt versterking van de regievoering op de externe partij.</t>
  </si>
  <si>
    <t>De effectiviteit van maatregelen is soortgelijk als bij uitbesteding, maar sterker dan bij uitbesteding in het geval dat de opdrachtgeversrol een directere en meer inhoudelijke, operationele sturing inhoudt.</t>
  </si>
  <si>
    <t xml:space="preserve">De grootste effectiviteit in deze categorie maatregelen is te verwachten van het creëren van een andere machtbalans t.o.v. bestaande marktpartijen, en van nieuwe kansen om samen te organiseren. </t>
  </si>
  <si>
    <t>Door data soevereiniteit te organiseren, wordt een (uiterste) fall-back tegen overige soevereiniteitsdreigingen gecreëerd. In die zin is deze categorie maatregelen mitigerend én voorwaardelijk voor integrale autonomie of soevereiniteit.</t>
  </si>
  <si>
    <t xml:space="preserve">Door de bedrijfslogica en overige omgang met data te borgen, zijn de maatregelen vooral effectief tegen Data &amp; AI soevereiniteitsdreigingen. Juridische en security compliance risico’s lijken slechts ten dele te kunnen worden weggenomen. </t>
  </si>
  <si>
    <t>Zero trust richt zich op het niet kunnen omzeilen van de informatiebeveiliging. Dit is een zeer krachtig mechanisme, dat doordoor ook heel effectief kan zijn.</t>
  </si>
  <si>
    <t xml:space="preserve">De grootste effectiviteit ligt in het in eigen hand houden van de AI-capability, zodat geen afhankelijkheid van kennis en kunde van externe partijen of hun AI-toepassingen ontstaat. </t>
  </si>
  <si>
    <t>Een vervangingsmoment biedt de kans om te sturen op dienstverleners of producten die beter passen bij de eisen en wensen aangaande digitale soevereiniteit</t>
  </si>
  <si>
    <t>Naast de als open source ingezette software is de effectiviteit afhankelijk van het overige ecosysteem (afhankelijkheden van andere technologie en dienstverleners). Effectiviteit vereist normaliter een brede en consistente aanpak.</t>
  </si>
  <si>
    <t>Hoewel in theorie zeer effectief, wegen bij keuzen voor diensten of dienstverleners vaak ook andere factoren mee. Bestaande open standaarden toepassen vergt dus vooral consequent gedrag. Coalitievorming kan helpen beweging te krijgen in ‘gesloten’ markten, dat zijn normaliter wel langdurige trajecten.</t>
  </si>
  <si>
    <t>Maatregelen kunnen bijdragen aan bijna alle soevereiniteitsdoelen. De invloed op Data &amp; AI Soevereiniteit is minder, doordat uitbestedingskeuzen niet in directe zin van invloed zijn op de risico’s in deze categorie.</t>
  </si>
  <si>
    <t>Soortgelijk als bij uitbesteding.</t>
  </si>
  <si>
    <t>Maatregelen kunnen bijdragen aan bijna alle soevereiniteitsdoelen. De dreigingen op het vlak van Data &amp; AI en Security &amp; Compliance worden niet direct weggenomen door te gaan samenwerken, al kunnen de uitkomsten van die samenwerking daaraan wel bijdragen.</t>
  </si>
  <si>
    <t>Maatregelen kunnen bijdragen aan alle soevereiniteitsdoelen waarvoor de omgang met data van belang is. Dat geldt primair voor Data &amp; AI zelf, maar ook voor Security &amp; Compliance en Legal &amp; Jurisdictional omdat die direct van de data afhankelijk zijn. De strategische keuzen over datalocatie en welke (externe) partij bij welke data mag kunnen ook bijdragen aan strategische soevereiniteit, en aan een sterkere positie in ketens.</t>
  </si>
  <si>
    <t>Maatregelen kunnen bijdragen aan alle soevereiniteitsdoelen waarvoor de omgang met data van belang is. Dat geldt primair voor Data &amp; AI zelf, maar ook voor Security &amp; Compliance en Legal &amp; Jurisdictional omdat die direct van de data afhankelijk zijn.</t>
  </si>
  <si>
    <t>Maatregelen dragen primair bij aan het soevereiniteitsdoel Security &amp; Compliance, Daarnaast kunnen ze de risico’s op Legal &amp; Jurisdictional gebied verlagen.</t>
  </si>
  <si>
    <t>DFe Data &amp; AI dreigingen kunnen grotendeels worden vermeden. Datzelfde geldt voor Security &amp; Compliance dreigingen.</t>
  </si>
  <si>
    <t>Maatregelen kunnen vooral bijdragen aan Technology soevereiniteit, en – door de keuze voor dienstverleners of producenten – Strategische soevereiniteit. Beïnvloeding van de andere soevereiniteitsdoelen is indirect.</t>
  </si>
  <si>
    <t>Soorgelijke als bij vervanging.</t>
  </si>
  <si>
    <t>Open standaarden dragen vooral bij aan Technologische soevereiniteit.</t>
  </si>
  <si>
    <t>vermijden / verminderen</t>
  </si>
  <si>
    <t>vermijden / verzekeren</t>
  </si>
  <si>
    <t>verzekeren / verminderen</t>
  </si>
  <si>
    <r>
      <rPr>
        <b/>
        <sz val="10"/>
        <rFont val="Aptos Narrow"/>
        <family val="2"/>
        <scheme val="minor"/>
      </rPr>
      <t xml:space="preserve">Boycot: </t>
    </r>
    <r>
      <rPr>
        <sz val="10"/>
        <rFont val="Aptos Narrow"/>
        <family val="2"/>
        <scheme val="minor"/>
      </rPr>
      <t xml:space="preserve">dienstverlener sluit toegang tot IT-diensten geheel of partieel af;
</t>
    </r>
    <r>
      <rPr>
        <b/>
        <sz val="10"/>
        <rFont val="Aptos Narrow"/>
        <family val="2"/>
        <scheme val="minor"/>
      </rPr>
      <t xml:space="preserve">Embargo: </t>
    </r>
    <r>
      <rPr>
        <sz val="10"/>
        <rFont val="Aptos Narrow"/>
        <family val="2"/>
        <scheme val="minor"/>
      </rPr>
      <t xml:space="preserve">vreemde mogendheid dwingt dienstverlener tot onderbreken/stoppen van dienstverlening;
</t>
    </r>
    <r>
      <rPr>
        <b/>
        <sz val="10"/>
        <rFont val="Aptos Narrow"/>
        <family val="2"/>
        <scheme val="minor"/>
      </rPr>
      <t>Non-conformiteit:</t>
    </r>
    <r>
      <rPr>
        <sz val="10"/>
        <rFont val="Aptos Narrow"/>
        <family val="2"/>
        <scheme val="minor"/>
      </rPr>
      <t xml:space="preserve"> dienstverlener wijkt in zijn diensten of plannen af van de  strategische doelen van de organisatie of van de EU; 
</t>
    </r>
    <r>
      <rPr>
        <b/>
        <sz val="10"/>
        <rFont val="Aptos Narrow"/>
        <family val="2"/>
        <scheme val="minor"/>
      </rPr>
      <t>Onmacht:</t>
    </r>
    <r>
      <rPr>
        <sz val="10"/>
        <rFont val="Aptos Narrow"/>
        <family val="2"/>
        <scheme val="minor"/>
      </rPr>
      <t xml:space="preserve"> dienstverlener is te dominant om te kunnen beïnvloeden;
</t>
    </r>
    <r>
      <rPr>
        <b/>
        <sz val="10"/>
        <rFont val="Aptos Narrow"/>
        <family val="2"/>
        <scheme val="minor"/>
      </rPr>
      <t>Non-compliance:</t>
    </r>
    <r>
      <rPr>
        <sz val="10"/>
        <rFont val="Aptos Narrow"/>
        <family val="2"/>
        <scheme val="minor"/>
      </rPr>
      <t xml:space="preserve"> dienstverlener is niet via EU wet- en regelgeving aan de  plichten of doelen van de organisatie te binden;
</t>
    </r>
    <r>
      <rPr>
        <b/>
        <sz val="10"/>
        <rFont val="Aptos Narrow"/>
        <family val="2"/>
        <scheme val="minor"/>
      </rPr>
      <t xml:space="preserve">Druk: </t>
    </r>
    <r>
      <rPr>
        <sz val="10"/>
        <rFont val="Aptos Narrow"/>
        <family val="2"/>
        <scheme val="minor"/>
      </rPr>
      <t>politieke beïnvloeding/sturing van personeel van dienstverleners of de organisatie zelf;</t>
    </r>
  </si>
  <si>
    <r>
      <rPr>
        <b/>
        <sz val="10"/>
        <rFont val="Aptos Narrow"/>
        <family val="2"/>
        <scheme val="minor"/>
      </rPr>
      <t xml:space="preserve">Rechteloosheid: </t>
    </r>
    <r>
      <rPr>
        <sz val="10"/>
        <rFont val="Aptos Narrow"/>
        <family val="2"/>
        <scheme val="minor"/>
      </rPr>
      <t xml:space="preserve">wet- en regelgeving ontbreekt, is ineffectief, of wordt niet gehandhaafd;
</t>
    </r>
    <r>
      <rPr>
        <b/>
        <sz val="10"/>
        <rFont val="Aptos Narrow"/>
        <family val="2"/>
        <scheme val="minor"/>
      </rPr>
      <t xml:space="preserve">Non-compliance: </t>
    </r>
    <r>
      <rPr>
        <sz val="10"/>
        <rFont val="Aptos Narrow"/>
        <family val="2"/>
        <scheme val="minor"/>
      </rPr>
      <t xml:space="preserve">vreemde mogendheid kan dienstverlener dwingen te handelen in strijd met EU-wetgeving; dienstverlener voert rechten van de organisatie of zijn betrokennen niet uit;
</t>
    </r>
    <r>
      <rPr>
        <b/>
        <sz val="10"/>
        <rFont val="Aptos Narrow"/>
        <family val="2"/>
        <scheme val="minor"/>
      </rPr>
      <t xml:space="preserve">Concurrerend recht: </t>
    </r>
    <r>
      <rPr>
        <sz val="10"/>
        <rFont val="Aptos Narrow"/>
        <family val="2"/>
        <scheme val="minor"/>
      </rPr>
      <t xml:space="preserve">dienstverlener of een onderaannemer zijn (mede) onderhevig aan niet-EU-wetgeving, waardoor het eigen recht niet of minder effectief kan worden toegepast;
</t>
    </r>
    <r>
      <rPr>
        <b/>
        <sz val="10"/>
        <rFont val="Aptos Narrow"/>
        <family val="2"/>
        <scheme val="minor"/>
      </rPr>
      <t>Slechte belangenbehartiging:</t>
    </r>
    <r>
      <rPr>
        <sz val="10"/>
        <rFont val="Aptos Narrow"/>
        <family val="2"/>
        <scheme val="minor"/>
      </rPr>
      <t xml:space="preserve"> ongunstige contractvoorwaarden vanwege afhankelijkheid van dominante marktpartijen; onvoldoende contractuele mogelijkheden hebben om dienstverleners te dwingen tot compliance met Europese/nationale wet- en regelgeving</t>
    </r>
  </si>
  <si>
    <r>
      <rPr>
        <b/>
        <sz val="10"/>
        <rFont val="Aptos Narrow"/>
        <family val="2"/>
        <scheme val="minor"/>
      </rPr>
      <t xml:space="preserve">Desinformatie: </t>
    </r>
    <r>
      <rPr>
        <sz val="10"/>
        <rFont val="Aptos Narrow"/>
        <family val="2"/>
        <scheme val="minor"/>
      </rPr>
      <t xml:space="preserve">verspreiden/tonen van gemanipuleerde informatie in plaats van feitelijke, herleidbare informatie;
</t>
    </r>
    <r>
      <rPr>
        <b/>
        <sz val="10"/>
        <rFont val="Aptos Narrow"/>
        <family val="2"/>
        <scheme val="minor"/>
      </rPr>
      <t xml:space="preserve">Manipulatie: </t>
    </r>
    <r>
      <rPr>
        <sz val="10"/>
        <rFont val="Aptos Narrow"/>
        <family val="2"/>
        <scheme val="minor"/>
      </rPr>
      <t xml:space="preserve">bias in uitkomsten door zoek- en navigatiesystemen van dominante marktpartijen;  
</t>
    </r>
    <r>
      <rPr>
        <b/>
        <sz val="10"/>
        <rFont val="Aptos Narrow"/>
        <family val="2"/>
        <scheme val="minor"/>
      </rPr>
      <t xml:space="preserve">Niet-herleidbare uitkomsten: </t>
    </r>
    <r>
      <rPr>
        <sz val="10"/>
        <rFont val="Aptos Narrow"/>
        <family val="2"/>
        <scheme val="minor"/>
      </rPr>
      <t xml:space="preserve">gebrek aan transparantie of onderbouwing van modellen en algoritmen;
</t>
    </r>
    <r>
      <rPr>
        <b/>
        <sz val="10"/>
        <rFont val="Aptos Narrow"/>
        <family val="2"/>
        <scheme val="minor"/>
      </rPr>
      <t xml:space="preserve">Censuur:  </t>
    </r>
    <r>
      <rPr>
        <sz val="10"/>
        <rFont val="Aptos Narrow"/>
        <family val="2"/>
        <scheme val="minor"/>
      </rPr>
      <t xml:space="preserve">weglating van informatie, beperking van dataverwerking en/of filtering van uitkomsten;
</t>
    </r>
    <r>
      <rPr>
        <b/>
        <sz val="10"/>
        <rFont val="Aptos Narrow"/>
        <family val="2"/>
        <scheme val="minor"/>
      </rPr>
      <t>Geschiedvervalsing:</t>
    </r>
    <r>
      <rPr>
        <sz val="10"/>
        <rFont val="Aptos Narrow"/>
        <family val="2"/>
        <scheme val="minor"/>
      </rPr>
      <t xml:space="preserve"> (selectieve) onrechtmatige vernietiging van data;
</t>
    </r>
    <r>
      <rPr>
        <b/>
        <sz val="10"/>
        <rFont val="Aptos Narrow"/>
        <family val="2"/>
        <scheme val="minor"/>
      </rPr>
      <t>Non-compliance:</t>
    </r>
    <r>
      <rPr>
        <sz val="10"/>
        <rFont val="Aptos Narrow"/>
        <family val="2"/>
        <scheme val="minor"/>
      </rPr>
      <t xml:space="preserve"> onrechtmatig gebruik van data, schending van auteursrechten/(intellectueel) eigendom; data-opslag buiten de toegestane locaties (EER, NL)</t>
    </r>
  </si>
  <si>
    <r>
      <rPr>
        <b/>
        <sz val="10"/>
        <rFont val="Aptos Narrow"/>
        <family val="2"/>
        <scheme val="minor"/>
      </rPr>
      <t>Zijsturing:</t>
    </r>
    <r>
      <rPr>
        <sz val="10"/>
        <rFont val="Aptos Narrow"/>
        <family val="2"/>
        <scheme val="minor"/>
      </rPr>
      <t xml:space="preserve"> inmenging door dienstverleners met bedrijfsvoering van de organisatie; eigen doelen en waarden/normen staan hierdoor onder druk;
</t>
    </r>
    <r>
      <rPr>
        <b/>
        <sz val="10"/>
        <rFont val="Aptos Narrow"/>
        <family val="2"/>
        <scheme val="minor"/>
      </rPr>
      <t>Concurrentie:</t>
    </r>
    <r>
      <rPr>
        <sz val="10"/>
        <rFont val="Aptos Narrow"/>
        <family val="2"/>
        <scheme val="minor"/>
      </rPr>
      <t xml:space="preserve"> dominante marktpartijen nemen (delen van) primaire of ondersteunende taken over;
</t>
    </r>
    <r>
      <rPr>
        <b/>
        <sz val="10"/>
        <rFont val="Aptos Narrow"/>
        <family val="2"/>
        <scheme val="minor"/>
      </rPr>
      <t xml:space="preserve">Uitholling: </t>
    </r>
    <r>
      <rPr>
        <sz val="10"/>
        <rFont val="Aptos Narrow"/>
        <family val="2"/>
        <scheme val="minor"/>
      </rPr>
      <t xml:space="preserve">afhankelijkheid van externe partijen op essentiële kennisgebieden door uitbesteding of automatisering; 
</t>
    </r>
    <r>
      <rPr>
        <b/>
        <sz val="10"/>
        <rFont val="Aptos Narrow"/>
        <family val="2"/>
        <scheme val="minor"/>
      </rPr>
      <t>Operationele afhankelijkheid/lock-in:</t>
    </r>
    <r>
      <rPr>
        <sz val="10"/>
        <rFont val="Aptos Narrow"/>
        <family val="2"/>
        <scheme val="minor"/>
      </rPr>
      <t xml:space="preserve"> niet-vervangbare generieke/kritische diensten; monocultuur/hoge afhankelijkheid van één dienstverlener voor generieke/kritische diensten;
</t>
    </r>
    <r>
      <rPr>
        <b/>
        <sz val="10"/>
        <rFont val="Aptos Narrow"/>
        <family val="2"/>
        <scheme val="minor"/>
      </rPr>
      <t>Middelenschaarste:</t>
    </r>
    <r>
      <rPr>
        <sz val="10"/>
        <rFont val="Aptos Narrow"/>
        <family val="2"/>
        <scheme val="minor"/>
      </rPr>
      <t xml:space="preserve"> geen slagkracht om afhankelijkheden te verminderen; hoge afhankelijkheid van externe diensten</t>
    </r>
  </si>
  <si>
    <r>
      <rPr>
        <b/>
        <sz val="10"/>
        <rFont val="Aptos Narrow"/>
        <family val="2"/>
        <scheme val="minor"/>
      </rPr>
      <t>Chantage:</t>
    </r>
    <r>
      <rPr>
        <sz val="10"/>
        <rFont val="Aptos Narrow"/>
        <family val="2"/>
        <scheme val="minor"/>
      </rPr>
      <t xml:space="preserve"> statelijke/commerciële partij dwingt onwenselijke voorwaarden af vanwege machtspositie in levering van grondstoffen;
</t>
    </r>
    <r>
      <rPr>
        <b/>
        <sz val="10"/>
        <rFont val="Aptos Narrow"/>
        <family val="2"/>
        <scheme val="minor"/>
      </rPr>
      <t xml:space="preserve">Boycot: </t>
    </r>
    <r>
      <rPr>
        <sz val="10"/>
        <rFont val="Aptos Narrow"/>
        <family val="2"/>
        <scheme val="minor"/>
      </rPr>
      <t xml:space="preserve">dienstverlener sluit toegang tot IT-diensten geheel of partieel af;
</t>
    </r>
    <r>
      <rPr>
        <b/>
        <sz val="10"/>
        <rFont val="Aptos Narrow"/>
        <family val="2"/>
        <scheme val="minor"/>
      </rPr>
      <t>Aanbieder bepaalt prijs:</t>
    </r>
    <r>
      <rPr>
        <sz val="10"/>
        <rFont val="Aptos Narrow"/>
        <family val="2"/>
        <scheme val="minor"/>
      </rPr>
      <t xml:space="preserve"> dienstverlener misbruikt kritische afhankelijkheid door onredelijke prijsverhogingen</t>
    </r>
  </si>
  <si>
    <r>
      <rPr>
        <b/>
        <sz val="10"/>
        <rFont val="Aptos Narrow"/>
        <family val="2"/>
        <scheme val="minor"/>
      </rPr>
      <t xml:space="preserve">Aanbieder bepaalt prijs: </t>
    </r>
    <r>
      <rPr>
        <sz val="10"/>
        <rFont val="Aptos Narrow"/>
        <family val="2"/>
        <scheme val="minor"/>
      </rPr>
      <t xml:space="preserve">marktdominantie wordt omgezet in woekerprijzen;
</t>
    </r>
    <r>
      <rPr>
        <b/>
        <sz val="10"/>
        <rFont val="Aptos Narrow"/>
        <family val="2"/>
        <scheme val="minor"/>
      </rPr>
      <t xml:space="preserve">Lock-in: </t>
    </r>
    <r>
      <rPr>
        <sz val="10"/>
        <rFont val="Aptos Narrow"/>
        <family val="2"/>
        <scheme val="minor"/>
      </rPr>
      <t xml:space="preserve">dienstverleners hanteren gesloten IT-architectuur (lock-in), gebaseerd op eigen specificaties ipv open standaarden; de organisatie ziet/heeft geen mogelijkheden dit te doorbreken;
</t>
    </r>
    <r>
      <rPr>
        <b/>
        <sz val="10"/>
        <rFont val="Aptos Narrow"/>
        <family val="2"/>
        <scheme val="minor"/>
      </rPr>
      <t xml:space="preserve">Monocultuur: </t>
    </r>
    <r>
      <rPr>
        <sz val="10"/>
        <rFont val="Aptos Narrow"/>
        <family val="2"/>
        <scheme val="minor"/>
      </rPr>
      <t xml:space="preserve">dienstverlener verleidt/stuurt de organisatie naar een monocultuur (geïntegreerde dienstverlening);
</t>
    </r>
    <r>
      <rPr>
        <b/>
        <sz val="10"/>
        <rFont val="Aptos Narrow"/>
        <family val="2"/>
        <scheme val="minor"/>
      </rPr>
      <t xml:space="preserve">Marktdominantie: </t>
    </r>
    <r>
      <rPr>
        <sz val="10"/>
        <rFont val="Aptos Narrow"/>
        <family val="2"/>
        <scheme val="minor"/>
      </rPr>
      <t xml:space="preserve">aanbodverschraling, vorming van techgiganten waardoor keuzemogelijkheden wegvallen of ontbreken;
</t>
    </r>
    <r>
      <rPr>
        <b/>
        <sz val="10"/>
        <rFont val="Aptos Narrow"/>
        <family val="2"/>
        <scheme val="minor"/>
      </rPr>
      <t>Non-compliance:</t>
    </r>
    <r>
      <rPr>
        <sz val="10"/>
        <rFont val="Aptos Narrow"/>
        <family val="2"/>
        <scheme val="minor"/>
      </rPr>
      <t xml:space="preserve"> dienstverlener houdt zich niet aan verplichte of wenselijke standaarden</t>
    </r>
  </si>
  <si>
    <r>
      <rPr>
        <b/>
        <sz val="10"/>
        <rFont val="Aptos Narrow"/>
        <family val="2"/>
        <scheme val="minor"/>
      </rPr>
      <t>Datalek/schending vertrouwelijkheid:</t>
    </r>
    <r>
      <rPr>
        <sz val="10"/>
        <rFont val="Aptos Narrow"/>
        <family val="2"/>
        <scheme val="minor"/>
      </rPr>
      <t xml:space="preserve"> statelijke actor/dienstverlener verschaft zich toegang tot data;
</t>
    </r>
    <r>
      <rPr>
        <b/>
        <sz val="10"/>
        <rFont val="Aptos Narrow"/>
        <family val="2"/>
        <scheme val="minor"/>
      </rPr>
      <t xml:space="preserve">Diefstal: </t>
    </r>
    <r>
      <rPr>
        <sz val="10"/>
        <rFont val="Aptos Narrow"/>
        <family val="2"/>
        <scheme val="minor"/>
      </rPr>
      <t xml:space="preserve">statelijke actor/dienstverlener eigent zich data toe (diefstal);
</t>
    </r>
    <r>
      <rPr>
        <b/>
        <sz val="10"/>
        <rFont val="Aptos Narrow"/>
        <family val="2"/>
        <scheme val="minor"/>
      </rPr>
      <t xml:space="preserve">Spionage: </t>
    </r>
    <r>
      <rPr>
        <sz val="10"/>
        <rFont val="Aptos Narrow"/>
        <family val="2"/>
        <scheme val="minor"/>
      </rPr>
      <t xml:space="preserve">via (virtuele) apparatuur of diensten;
</t>
    </r>
    <r>
      <rPr>
        <b/>
        <sz val="10"/>
        <rFont val="Aptos Narrow"/>
        <family val="2"/>
        <scheme val="minor"/>
      </rPr>
      <t>Niet-herleidbaarheid:</t>
    </r>
    <r>
      <rPr>
        <sz val="10"/>
        <rFont val="Aptos Narrow"/>
        <family val="2"/>
        <scheme val="minor"/>
      </rPr>
      <t xml:space="preserve">  onvoldoende inzicht en controlemaatregelen op (AI-)algoritmen</t>
    </r>
  </si>
  <si>
    <r>
      <rPr>
        <b/>
        <sz val="10"/>
        <rFont val="Aptos Narrow"/>
        <family val="2"/>
        <scheme val="minor"/>
      </rPr>
      <t xml:space="preserve">Non-conformiteit: </t>
    </r>
    <r>
      <rPr>
        <sz val="10"/>
        <rFont val="Aptos Narrow"/>
        <family val="2"/>
        <scheme val="minor"/>
      </rPr>
      <t xml:space="preserve">dienstverlener doet minder moeite voor duurzaamheid dan organisatie wil;
</t>
    </r>
    <r>
      <rPr>
        <b/>
        <sz val="10"/>
        <rFont val="Aptos Narrow"/>
        <family val="2"/>
        <scheme val="minor"/>
      </rPr>
      <t xml:space="preserve">Non-compliance: </t>
    </r>
    <r>
      <rPr>
        <sz val="10"/>
        <rFont val="Aptos Narrow"/>
        <family val="2"/>
        <scheme val="minor"/>
      </rPr>
      <t>dienstverlener voldoet niet aan minimale duurzaamheidseisen</t>
    </r>
  </si>
  <si>
    <t>Maatregel-categorie</t>
  </si>
  <si>
    <t>Dreigingsactoren</t>
  </si>
  <si>
    <t>Actor 3</t>
  </si>
  <si>
    <t>Actor 4</t>
  </si>
  <si>
    <t>Maatregeleffectiviteit</t>
  </si>
  <si>
    <t>Dreigingen</t>
  </si>
  <si>
    <t>Risk appetite / risicobereidheid</t>
  </si>
  <si>
    <t>Open source toepassen voor:
Operating systemen, 
Cloud stacks, 
Kantoorsoftware, 
Bedrijfsapplicaties, 
IT-tools voor software development en beheer.
Expertise opbouwen, community deelname, partners aantrekken.</t>
  </si>
  <si>
    <t>Afhankelijkheden van één partij verminderen door opdrachtverdeling, 
Versterking opdrachtgeversrol (directere aansturing, auditing, leveranciers- en contractmanagement, inkoopvoorwaarden), 
Versterking klantrol (aansturing van service management, acceptatie en overdracht van deliverables).</t>
  </si>
  <si>
    <t>Open standaarden toepassen voor:
Berichtformaten, 
Communicatieprotocollen, 
Definities van metadata en gegevensobjecten, 
Applicatieve koppelvlakken (API’s).
Expertise opbouwen,  community deelname.</t>
  </si>
  <si>
    <t>Maatregelen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</si>
</sst>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8"/>
      <name val="Aptos Narrow"/>
      <family val="2"/>
      <scheme val="minor"/>
    </font>
    <font>
      <sz val="10"/>
      <color theme="1"/>
      <name val="Aptos Narrow"/>
      <family val="2"/>
      <scheme val="minor"/>
    </font>
    <font>
      <b/>
      <sz val="10"/>
      <color theme="1"/>
      <name val="Aptos Narrow"/>
      <family val="2"/>
      <scheme val="minor"/>
    </font>
    <font>
      <sz val="11"/>
      <color rgb="FF000000"/>
      <name val="Calibri"/>
      <family val="2"/>
    </font>
    <font>
      <b/>
      <sz val="10"/>
      <color theme="0"/>
      <name val="Aptos Narrow"/>
      <family val="2"/>
      <scheme val="minor"/>
    </font>
    <font>
      <sz val="10"/>
      <color theme="0"/>
      <name val="Aptos Narrow"/>
      <family val="2"/>
      <scheme val="minor"/>
    </font>
    <font>
      <b/>
      <sz val="10"/>
      <name val="Aptos Narrow"/>
      <family val="2"/>
      <scheme val="minor"/>
    </font>
    <font>
      <sz val="10"/>
      <name val="Aptos Narrow"/>
      <family val="2"/>
      <scheme val="minor"/>
    </font>
    <font>
      <sz val="11"/>
      <name val="Aptos Narrow"/>
      <family val="2"/>
      <scheme val="minor"/>
    </font>
    <font>
      <b/>
      <sz val="16"/>
      <name val="Calibri"/>
      <family val="2"/>
    </font>
    <font>
      <sz val="16"/>
      <name val="Calibri"/>
      <family val="2"/>
    </font>
    <font>
      <sz val="18"/>
      <color theme="1"/>
      <name val="Aptos Narrow"/>
      <family val="2"/>
      <scheme val="minor"/>
    </font>
    <font>
      <sz val="18"/>
      <name val="Aptos Narrow"/>
      <family val="2"/>
      <scheme val="minor"/>
    </font>
  </fonts>
  <fills count="14">
    <fill>
      <patternFill patternType="none"/>
    </fill>
    <fill>
      <patternFill patternType="gray125"/>
    </fill>
    <fill>
      <patternFill patternType="solid">
        <fgColor theme="5"/>
        <bgColor theme="5"/>
      </patternFill>
    </fill>
    <fill>
      <patternFill patternType="solid">
        <fgColor rgb="FFF8CBAD"/>
        <bgColor rgb="FFF8CBAD"/>
      </patternFill>
    </fill>
    <fill>
      <patternFill patternType="solid">
        <fgColor rgb="FFFCE4D6"/>
        <bgColor rgb="FFFCE4D6"/>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9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theme="5"/>
      </patternFill>
    </fill>
    <fill>
      <patternFill patternType="solid">
        <fgColor theme="0"/>
        <bgColor rgb="FFF8CBAD"/>
      </patternFill>
    </fill>
  </fills>
  <borders count="19">
    <border>
      <left/>
      <right/>
      <top/>
      <bottom/>
      <diagonal/>
    </border>
    <border>
      <left style="dashed">
        <color rgb="FF000000"/>
      </left>
      <right style="dashed">
        <color rgb="FF000000"/>
      </right>
      <top style="medium">
        <color rgb="FF000000"/>
      </top>
      <bottom style="dashed">
        <color rgb="FF000000"/>
      </bottom>
      <diagonal/>
    </border>
    <border>
      <left style="dashed">
        <color rgb="FF000000"/>
      </left>
      <right style="dashed">
        <color rgb="FF000000"/>
      </right>
      <top/>
      <bottom style="dashed">
        <color rgb="FF000000"/>
      </bottom>
      <diagonal/>
    </border>
    <border>
      <left style="medium">
        <color rgb="FF000000"/>
      </left>
      <right/>
      <top/>
      <bottom/>
      <diagonal/>
    </border>
    <border>
      <left/>
      <right style="dashed">
        <color rgb="FF000000"/>
      </right>
      <top style="dashed">
        <color rgb="FF000000"/>
      </top>
      <bottom style="medium">
        <color rgb="FF000000"/>
      </bottom>
      <diagonal/>
    </border>
    <border>
      <left/>
      <right style="dashed">
        <color rgb="FF000000"/>
      </right>
      <top/>
      <bottom style="dashed">
        <color rgb="FF000000"/>
      </bottom>
      <diagonal/>
    </border>
    <border>
      <left style="dashed">
        <color rgb="FF000000"/>
      </left>
      <right style="dashed">
        <color rgb="FF000000"/>
      </right>
      <top style="thin">
        <color rgb="FFFFFFFF"/>
      </top>
      <bottom style="dashed">
        <color rgb="FF000000"/>
      </bottom>
      <diagonal/>
    </border>
    <border>
      <left/>
      <right style="dashed">
        <color rgb="FF000000"/>
      </right>
      <top style="thin">
        <color rgb="FFFFFFFF"/>
      </top>
      <bottom style="dashed">
        <color rgb="FF000000"/>
      </bottom>
      <diagonal/>
    </border>
    <border>
      <left style="thin">
        <color auto="1"/>
      </left>
      <right style="thin">
        <color auto="1"/>
      </right>
      <top style="thin">
        <color auto="1"/>
      </top>
      <bottom style="thin">
        <color auto="1"/>
      </bottom>
      <diagonal/>
    </border>
    <border>
      <left style="dashed">
        <color rgb="FF000000"/>
      </left>
      <right/>
      <top style="medium">
        <color rgb="FF000000"/>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dashed">
        <color rgb="FF000000"/>
      </left>
      <right style="dashed">
        <color rgb="FF000000"/>
      </right>
      <top style="medium">
        <color rgb="FF000000"/>
      </top>
      <bottom/>
      <diagonal/>
    </border>
  </borders>
  <cellStyleXfs count="1">
    <xf numFmtId="0" fontId="0" fillId="0" borderId="0"/>
  </cellStyleXfs>
  <cellXfs count="65">
    <xf numFmtId="0" fontId="0" fillId="0" borderId="0" xfId="0"/>
    <xf numFmtId="0" fontId="0" fillId="0" borderId="0" xfId="0" applyAlignment="1">
      <alignment wrapText="1"/>
    </xf>
    <xf numFmtId="0" fontId="2" fillId="0" borderId="0" xfId="0" applyFont="1" applyAlignment="1">
      <alignment vertical="top"/>
    </xf>
    <xf numFmtId="0" fontId="2" fillId="0" borderId="0" xfId="0" applyFont="1"/>
    <xf numFmtId="0" fontId="5" fillId="2" borderId="4" xfId="0" applyFont="1" applyFill="1" applyBorder="1" applyAlignment="1">
      <alignment vertical="top" wrapText="1"/>
    </xf>
    <xf numFmtId="0" fontId="6" fillId="2" borderId="4" xfId="0" applyFont="1" applyFill="1" applyBorder="1" applyAlignment="1">
      <alignment vertical="top" wrapText="1"/>
    </xf>
    <xf numFmtId="0" fontId="5" fillId="2" borderId="4" xfId="0" applyFont="1" applyFill="1" applyBorder="1" applyAlignment="1">
      <alignment horizontal="center" textRotation="90" wrapText="1"/>
    </xf>
    <xf numFmtId="0" fontId="4" fillId="3" borderId="6" xfId="0" applyFont="1" applyFill="1" applyBorder="1" applyAlignment="1">
      <alignment horizontal="center" wrapText="1"/>
    </xf>
    <xf numFmtId="0" fontId="4" fillId="3" borderId="7" xfId="0" applyFont="1" applyFill="1" applyBorder="1" applyAlignment="1">
      <alignment horizontal="center" wrapText="1"/>
    </xf>
    <xf numFmtId="0" fontId="4" fillId="4" borderId="2" xfId="0" applyFont="1" applyFill="1" applyBorder="1" applyAlignment="1">
      <alignment horizontal="center" wrapText="1"/>
    </xf>
    <xf numFmtId="0" fontId="4" fillId="4" borderId="5" xfId="0" applyFont="1" applyFill="1" applyBorder="1" applyAlignment="1">
      <alignment horizontal="center" wrapText="1"/>
    </xf>
    <xf numFmtId="0" fontId="5" fillId="2" borderId="4"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5" fillId="2" borderId="1" xfId="0" applyFont="1" applyFill="1" applyBorder="1" applyAlignment="1">
      <alignment horizontal="center" vertical="center"/>
    </xf>
    <xf numFmtId="0" fontId="0" fillId="5" borderId="0" xfId="0" applyFill="1" applyAlignment="1">
      <alignment horizontal="left" vertical="top" wrapText="1"/>
    </xf>
    <xf numFmtId="0" fontId="0" fillId="6" borderId="0" xfId="0" applyFill="1" applyAlignment="1">
      <alignment horizontal="left" vertical="top" wrapText="1"/>
    </xf>
    <xf numFmtId="0" fontId="0" fillId="7" borderId="0" xfId="0" applyFill="1" applyAlignment="1">
      <alignment horizontal="left" vertical="top"/>
    </xf>
    <xf numFmtId="0" fontId="0" fillId="8" borderId="0" xfId="0" applyFill="1" applyAlignment="1">
      <alignment horizontal="left" vertical="top"/>
    </xf>
    <xf numFmtId="0" fontId="0" fillId="0" borderId="8" xfId="0" applyBorder="1" applyAlignment="1">
      <alignment horizontal="left" vertical="top"/>
    </xf>
    <xf numFmtId="0" fontId="0" fillId="6" borderId="0" xfId="0" applyFill="1"/>
    <xf numFmtId="0" fontId="0" fillId="9" borderId="0" xfId="0" applyFill="1"/>
    <xf numFmtId="0" fontId="7" fillId="9" borderId="10" xfId="0" applyFont="1" applyFill="1" applyBorder="1" applyAlignment="1">
      <alignment horizontal="center" vertical="top" wrapText="1"/>
    </xf>
    <xf numFmtId="0" fontId="7" fillId="9" borderId="11" xfId="0" applyFont="1" applyFill="1" applyBorder="1" applyAlignment="1">
      <alignment horizontal="center" vertical="top" wrapText="1"/>
    </xf>
    <xf numFmtId="0" fontId="7" fillId="9" borderId="12" xfId="0" applyFont="1" applyFill="1" applyBorder="1" applyAlignment="1">
      <alignment horizontal="center" vertical="top" wrapText="1"/>
    </xf>
    <xf numFmtId="0" fontId="7" fillId="9" borderId="13" xfId="0" applyFont="1" applyFill="1" applyBorder="1" applyAlignment="1">
      <alignment vertical="top" wrapText="1"/>
    </xf>
    <xf numFmtId="0" fontId="8" fillId="10" borderId="8" xfId="0" applyFont="1" applyFill="1" applyBorder="1" applyAlignment="1">
      <alignment vertical="top" wrapText="1"/>
    </xf>
    <xf numFmtId="0" fontId="8" fillId="10" borderId="14" xfId="0" applyFont="1" applyFill="1" applyBorder="1" applyAlignment="1">
      <alignment vertical="top" wrapText="1"/>
    </xf>
    <xf numFmtId="0" fontId="8" fillId="10" borderId="14" xfId="0" applyFont="1" applyFill="1" applyBorder="1" applyAlignment="1">
      <alignment horizontal="left" vertical="top" wrapText="1"/>
    </xf>
    <xf numFmtId="0" fontId="7" fillId="9" borderId="15" xfId="0" applyFont="1" applyFill="1" applyBorder="1" applyAlignment="1">
      <alignment vertical="top" wrapText="1"/>
    </xf>
    <xf numFmtId="0" fontId="8" fillId="10" borderId="16" xfId="0" applyFont="1" applyFill="1" applyBorder="1" applyAlignment="1">
      <alignment vertical="top" wrapText="1"/>
    </xf>
    <xf numFmtId="0" fontId="8" fillId="10" borderId="17" xfId="0" applyFont="1" applyFill="1" applyBorder="1" applyAlignment="1">
      <alignment horizontal="left" vertical="top" wrapText="1"/>
    </xf>
    <xf numFmtId="0" fontId="8" fillId="11" borderId="0" xfId="0" applyFont="1" applyFill="1"/>
    <xf numFmtId="0" fontId="7" fillId="11" borderId="18" xfId="0" applyFont="1" applyFill="1" applyBorder="1" applyAlignment="1">
      <alignment horizontal="center" vertical="center"/>
    </xf>
    <xf numFmtId="0" fontId="7" fillId="11" borderId="9" xfId="0" applyFont="1" applyFill="1" applyBorder="1" applyAlignment="1">
      <alignment horizontal="center" vertical="center"/>
    </xf>
    <xf numFmtId="0" fontId="7" fillId="11" borderId="8" xfId="0" applyFont="1" applyFill="1" applyBorder="1"/>
    <xf numFmtId="0" fontId="7" fillId="11" borderId="8" xfId="0" applyFont="1" applyFill="1" applyBorder="1" applyAlignment="1">
      <alignment horizontal="center"/>
    </xf>
    <xf numFmtId="0" fontId="7" fillId="11" borderId="8" xfId="0" applyFont="1" applyFill="1" applyBorder="1" applyAlignment="1">
      <alignment vertical="top"/>
    </xf>
    <xf numFmtId="0" fontId="7" fillId="11" borderId="8" xfId="0" applyFont="1" applyFill="1" applyBorder="1" applyAlignment="1">
      <alignment horizontal="left" vertical="top" wrapText="1"/>
    </xf>
    <xf numFmtId="0" fontId="7" fillId="11" borderId="8" xfId="0" applyFont="1" applyFill="1" applyBorder="1" applyAlignment="1">
      <alignment vertical="top" wrapText="1"/>
    </xf>
    <xf numFmtId="0" fontId="8" fillId="10" borderId="8" xfId="0" applyFont="1" applyFill="1" applyBorder="1" applyAlignment="1">
      <alignment horizontal="left" vertical="top" wrapText="1"/>
    </xf>
    <xf numFmtId="0" fontId="9" fillId="0" borderId="0" xfId="0" applyFont="1"/>
    <xf numFmtId="0" fontId="7" fillId="12" borderId="8" xfId="0" applyFont="1" applyFill="1" applyBorder="1" applyAlignment="1">
      <alignment wrapText="1"/>
    </xf>
    <xf numFmtId="0" fontId="7" fillId="12" borderId="8" xfId="0" applyFont="1" applyFill="1" applyBorder="1" applyAlignment="1">
      <alignment horizontal="center" vertical="top" textRotation="90" wrapText="1"/>
    </xf>
    <xf numFmtId="0" fontId="7" fillId="12" borderId="8" xfId="0" applyFont="1" applyFill="1" applyBorder="1" applyAlignment="1">
      <alignment vertical="top" wrapText="1"/>
    </xf>
    <xf numFmtId="0" fontId="4" fillId="13" borderId="8" xfId="0" applyFont="1" applyFill="1" applyBorder="1" applyAlignment="1">
      <alignment horizontal="left" vertical="top" wrapText="1"/>
    </xf>
    <xf numFmtId="0" fontId="8" fillId="11" borderId="10" xfId="0" applyFont="1" applyFill="1" applyBorder="1" applyAlignment="1">
      <alignment vertical="top"/>
    </xf>
    <xf numFmtId="0" fontId="7" fillId="11" borderId="11" xfId="0" applyFont="1" applyFill="1" applyBorder="1" applyAlignment="1">
      <alignment horizontal="center" vertical="top"/>
    </xf>
    <xf numFmtId="0" fontId="7" fillId="11" borderId="12" xfId="0" applyFont="1" applyFill="1" applyBorder="1" applyAlignment="1">
      <alignment horizontal="center" vertical="top"/>
    </xf>
    <xf numFmtId="0" fontId="7" fillId="11" borderId="13" xfId="0" applyFont="1" applyFill="1" applyBorder="1" applyAlignment="1">
      <alignment vertical="top"/>
    </xf>
    <xf numFmtId="0" fontId="7" fillId="10" borderId="8" xfId="0" applyFont="1" applyFill="1" applyBorder="1" applyAlignment="1">
      <alignment horizontal="left" vertical="top" wrapText="1"/>
    </xf>
    <xf numFmtId="0" fontId="7" fillId="10" borderId="14" xfId="0" applyFont="1" applyFill="1" applyBorder="1" applyAlignment="1">
      <alignment horizontal="left" vertical="top" wrapText="1"/>
    </xf>
    <xf numFmtId="0" fontId="7" fillId="11" borderId="13" xfId="0" applyFont="1" applyFill="1" applyBorder="1" applyAlignment="1">
      <alignment vertical="top" wrapText="1"/>
    </xf>
    <xf numFmtId="0" fontId="7" fillId="11" borderId="15" xfId="0" applyFont="1" applyFill="1" applyBorder="1" applyAlignment="1">
      <alignment vertical="top" wrapText="1"/>
    </xf>
    <xf numFmtId="0" fontId="8" fillId="10" borderId="16" xfId="0" applyFont="1" applyFill="1" applyBorder="1" applyAlignment="1">
      <alignment horizontal="left" vertical="top" wrapText="1"/>
    </xf>
    <xf numFmtId="0" fontId="7" fillId="11" borderId="15" xfId="0" applyFont="1" applyFill="1" applyBorder="1" applyAlignment="1">
      <alignment vertical="top"/>
    </xf>
    <xf numFmtId="0" fontId="10" fillId="13" borderId="8" xfId="0" applyFont="1" applyFill="1" applyBorder="1" applyAlignment="1">
      <alignment horizontal="center" wrapText="1"/>
    </xf>
    <xf numFmtId="0" fontId="11" fillId="13" borderId="8" xfId="0" applyFont="1" applyFill="1" applyBorder="1" applyAlignment="1">
      <alignment horizontal="center" wrapText="1"/>
    </xf>
    <xf numFmtId="0" fontId="7" fillId="12" borderId="8" xfId="0" applyFont="1" applyFill="1" applyBorder="1"/>
    <xf numFmtId="0" fontId="7" fillId="12" borderId="8" xfId="0" applyFont="1" applyFill="1" applyBorder="1" applyAlignment="1">
      <alignment horizontal="center" textRotation="90" wrapText="1"/>
    </xf>
    <xf numFmtId="0" fontId="3" fillId="0" borderId="3" xfId="0" applyFont="1" applyBorder="1" applyAlignment="1">
      <alignment horizontal="center" vertical="top"/>
    </xf>
    <xf numFmtId="0" fontId="3" fillId="0" borderId="0" xfId="0" applyFont="1" applyAlignment="1">
      <alignment horizontal="center" vertical="top"/>
    </xf>
    <xf numFmtId="0" fontId="12" fillId="0" borderId="0" xfId="0" applyFont="1" applyAlignment="1">
      <alignment vertical="top"/>
    </xf>
    <xf numFmtId="0" fontId="12" fillId="0" borderId="0" xfId="0" applyFont="1"/>
    <xf numFmtId="0" fontId="13" fillId="0" borderId="0" xfId="0" applyFont="1"/>
  </cellXfs>
  <cellStyles count="1">
    <cellStyle name="Standaard" xfId="0" builtinId="0"/>
  </cellStyles>
  <dxfs count="28">
    <dxf>
      <font>
        <strike val="0"/>
        <outline val="0"/>
        <shadow val="0"/>
        <u val="none"/>
        <vertAlign val="baseline"/>
        <sz val="10"/>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auto="1"/>
        <name val="Aptos Narrow"/>
        <family val="2"/>
        <scheme val="minor"/>
      </font>
      <fill>
        <patternFill patternType="solid">
          <fgColor indexed="64"/>
          <bgColor theme="0" tint="-4.9989318521683403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right style="medium">
          <color rgb="FF000000"/>
        </right>
        <bottom style="medium">
          <color rgb="FF000000"/>
        </bottom>
      </border>
    </dxf>
    <dxf>
      <font>
        <strike val="0"/>
        <outline val="0"/>
        <shadow val="0"/>
        <u val="none"/>
        <vertAlign val="baseline"/>
        <sz val="10"/>
        <color auto="1"/>
        <name val="Aptos Narrow"/>
        <family val="2"/>
        <scheme val="minor"/>
      </font>
    </dxf>
    <dxf>
      <font>
        <b/>
        <i val="0"/>
        <strike val="0"/>
        <condense val="0"/>
        <extend val="0"/>
        <outline val="0"/>
        <shadow val="0"/>
        <u val="none"/>
        <vertAlign val="baseline"/>
        <sz val="10"/>
        <color auto="1"/>
        <name val="Aptos Narrow"/>
        <family val="2"/>
        <scheme val="minor"/>
      </font>
      <alignment horizontal="center" vertical="center" textRotation="0" wrapText="0" indent="0" justifyLastLine="0" shrinkToFit="0" readingOrder="0"/>
      <border diagonalUp="0" diagonalDown="0" outline="0">
        <left style="dashed">
          <color rgb="FF000000"/>
        </left>
        <right style="dashed">
          <color rgb="FF000000"/>
        </right>
        <top/>
        <bottom/>
      </border>
    </dxf>
    <dxf>
      <font>
        <strike val="0"/>
        <outline val="0"/>
        <shadow val="0"/>
        <u val="none"/>
        <vertAlign val="baseline"/>
        <sz val="10"/>
        <color auto="1"/>
        <name val="Aptos Narrow"/>
        <scheme val="minor"/>
      </font>
      <fill>
        <patternFill patternType="solid">
          <fgColor indexed="64"/>
          <bgColor theme="0"/>
        </patternFill>
      </fill>
      <alignment vertical="top"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scheme val="minor"/>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scheme val="minor"/>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auto="1"/>
        <name val="Aptos Narrow"/>
        <scheme val="minor"/>
      </font>
      <fill>
        <patternFill patternType="solid">
          <fgColor indexed="64"/>
          <bgColor theme="0" tint="-0.14999847407452621"/>
        </patternFill>
      </fill>
      <alignment horizontal="general"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scheme val="minor"/>
      </font>
      <alignment vertical="top" textRotation="0" indent="0" justifyLastLine="0" shrinkToFit="0" readingOrder="0"/>
    </dxf>
    <dxf>
      <border>
        <bottom style="thin">
          <color indexed="64"/>
        </bottom>
      </border>
    </dxf>
    <dxf>
      <font>
        <b/>
        <i val="0"/>
        <strike val="0"/>
        <condense val="0"/>
        <extend val="0"/>
        <outline val="0"/>
        <shadow val="0"/>
        <u val="none"/>
        <vertAlign val="baseline"/>
        <sz val="10"/>
        <color auto="1"/>
        <name val="Aptos Narrow"/>
        <scheme val="minor"/>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auto="1"/>
        <name val="Aptos Narrow"/>
        <family val="2"/>
        <scheme val="minor"/>
      </font>
      <fill>
        <patternFill patternType="solid">
          <fgColor indexed="64"/>
          <bgColor theme="0"/>
        </patternFill>
      </fill>
      <alignment vertical="top"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ptos Narrow"/>
        <family val="2"/>
        <scheme val="minor"/>
      </font>
      <fill>
        <patternFill patternType="solid">
          <fgColor indexed="64"/>
          <bgColor theme="0"/>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ptos Narrow"/>
        <family val="2"/>
        <scheme val="minor"/>
      </font>
      <fill>
        <patternFill patternType="solid">
          <fgColor indexed="64"/>
          <bgColor theme="0"/>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ptos Narrow"/>
        <family val="2"/>
        <scheme val="minor"/>
      </font>
      <fill>
        <patternFill patternType="solid">
          <fgColor indexed="64"/>
          <bgColor theme="0"/>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auto="1"/>
        <name val="Aptos Narrow"/>
        <family val="2"/>
        <scheme val="minor"/>
      </font>
      <fill>
        <patternFill patternType="solid">
          <fgColor indexed="64"/>
          <bgColor theme="0" tint="-4.9989318521683403E-2"/>
        </patternFill>
      </fill>
      <alignment horizontal="general"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fill>
        <patternFill patternType="solid">
          <fgColor indexed="64"/>
          <bgColor theme="0" tint="-4.9989318521683403E-2"/>
        </patternFill>
      </fill>
      <alignment vertical="top" textRotation="0" indent="0" justifyLastLine="0" shrinkToFit="0" readingOrder="0"/>
    </dxf>
    <dxf>
      <border>
        <bottom style="thin">
          <color indexed="64"/>
        </bottom>
      </border>
    </dxf>
    <dxf>
      <font>
        <b/>
        <i val="0"/>
        <strike val="0"/>
        <condense val="0"/>
        <extend val="0"/>
        <outline val="0"/>
        <shadow val="0"/>
        <u val="none"/>
        <vertAlign val="baseline"/>
        <sz val="10"/>
        <color auto="1"/>
        <name val="Aptos Narrow"/>
        <family val="2"/>
        <scheme val="minor"/>
      </font>
      <fill>
        <patternFill patternType="solid">
          <fgColor indexed="64"/>
          <bgColor theme="0" tint="-4.9989318521683403E-2"/>
        </patternFill>
      </fill>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nl-NL"/>
              <a:t>Digitale Soevereiniteit Self-assessment</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nl-NL"/>
        </a:p>
      </c:txPr>
    </c:title>
    <c:autoTitleDeleted val="0"/>
    <c:plotArea>
      <c:layout/>
      <c:radarChart>
        <c:radarStyle val="filled"/>
        <c:varyColors val="0"/>
        <c:ser>
          <c:idx val="0"/>
          <c:order val="0"/>
          <c:tx>
            <c:strRef>
              <c:f>'Self-assessment'!$G$7</c:f>
              <c:strCache>
                <c:ptCount val="1"/>
                <c:pt idx="0">
                  <c:v>IST</c:v>
                </c:pt>
              </c:strCache>
            </c:strRef>
          </c:tx>
          <c:spPr>
            <a:solidFill>
              <a:schemeClr val="accent1">
                <a:alpha val="10196"/>
              </a:schemeClr>
            </a:solidFill>
            <a:ln w="50800">
              <a:solidFill>
                <a:schemeClr val="accent1">
                  <a:alpha val="30000"/>
                </a:schemeClr>
              </a:solidFill>
            </a:ln>
            <a:effectLst/>
          </c:spPr>
          <c:cat>
            <c:strRef>
              <c:f>'Self-assessment'!$F$8:$F$15</c:f>
              <c:strCache>
                <c:ptCount val="8"/>
                <c:pt idx="0">
                  <c:v>SOV-1 Strategic Sovereignty</c:v>
                </c:pt>
                <c:pt idx="1">
                  <c:v>SOV-2 Legal &amp; Jurisdictional Sovereignty</c:v>
                </c:pt>
                <c:pt idx="2">
                  <c:v>SOV-3 Data &amp; AI Sovereignty</c:v>
                </c:pt>
                <c:pt idx="3">
                  <c:v>SOV-4 Operational Sovereignty</c:v>
                </c:pt>
                <c:pt idx="4">
                  <c:v>SOV-5 Supply Chain Sovereignty</c:v>
                </c:pt>
                <c:pt idx="5">
                  <c:v>SOV-6 Technology Sovereignty</c:v>
                </c:pt>
                <c:pt idx="6">
                  <c:v>SOV-7 Security &amp; Compliance Sovereignty</c:v>
                </c:pt>
                <c:pt idx="7">
                  <c:v>SOV-8 Environmental Sustainability</c:v>
                </c:pt>
              </c:strCache>
            </c:strRef>
          </c:cat>
          <c:val>
            <c:numRef>
              <c:f>'Self-assessment'!$G$8:$G$15</c:f>
              <c:numCache>
                <c:formatCode>General</c:formatCode>
                <c:ptCount val="8"/>
                <c:pt idx="0">
                  <c:v>5.83</c:v>
                </c:pt>
                <c:pt idx="1">
                  <c:v>4</c:v>
                </c:pt>
                <c:pt idx="2">
                  <c:v>7.14</c:v>
                </c:pt>
                <c:pt idx="3">
                  <c:v>5</c:v>
                </c:pt>
                <c:pt idx="4">
                  <c:v>4</c:v>
                </c:pt>
                <c:pt idx="5">
                  <c:v>5</c:v>
                </c:pt>
                <c:pt idx="6">
                  <c:v>4</c:v>
                </c:pt>
                <c:pt idx="7">
                  <c:v>5</c:v>
                </c:pt>
              </c:numCache>
            </c:numRef>
          </c:val>
          <c:extLst>
            <c:ext xmlns:c16="http://schemas.microsoft.com/office/drawing/2014/chart" uri="{C3380CC4-5D6E-409C-BE32-E72D297353CC}">
              <c16:uniqueId val="{00000000-AE8F-4FD9-B367-C0D1E6CC74F0}"/>
            </c:ext>
          </c:extLst>
        </c:ser>
        <c:ser>
          <c:idx val="1"/>
          <c:order val="1"/>
          <c:tx>
            <c:strRef>
              <c:f>'Self-assessment'!$H$7</c:f>
              <c:strCache>
                <c:ptCount val="1"/>
                <c:pt idx="0">
                  <c:v>SOLL</c:v>
                </c:pt>
              </c:strCache>
            </c:strRef>
          </c:tx>
          <c:spPr>
            <a:solidFill>
              <a:schemeClr val="accent2">
                <a:alpha val="10196"/>
              </a:schemeClr>
            </a:solidFill>
            <a:ln w="50800">
              <a:solidFill>
                <a:schemeClr val="accent2">
                  <a:alpha val="30000"/>
                </a:schemeClr>
              </a:solidFill>
            </a:ln>
            <a:effectLst/>
          </c:spPr>
          <c:cat>
            <c:strRef>
              <c:f>'Self-assessment'!$F$8:$F$15</c:f>
              <c:strCache>
                <c:ptCount val="8"/>
                <c:pt idx="0">
                  <c:v>SOV-1 Strategic Sovereignty</c:v>
                </c:pt>
                <c:pt idx="1">
                  <c:v>SOV-2 Legal &amp; Jurisdictional Sovereignty</c:v>
                </c:pt>
                <c:pt idx="2">
                  <c:v>SOV-3 Data &amp; AI Sovereignty</c:v>
                </c:pt>
                <c:pt idx="3">
                  <c:v>SOV-4 Operational Sovereignty</c:v>
                </c:pt>
                <c:pt idx="4">
                  <c:v>SOV-5 Supply Chain Sovereignty</c:v>
                </c:pt>
                <c:pt idx="5">
                  <c:v>SOV-6 Technology Sovereignty</c:v>
                </c:pt>
                <c:pt idx="6">
                  <c:v>SOV-7 Security &amp; Compliance Sovereignty</c:v>
                </c:pt>
                <c:pt idx="7">
                  <c:v>SOV-8 Environmental Sustainability</c:v>
                </c:pt>
              </c:strCache>
            </c:strRef>
          </c:cat>
          <c:val>
            <c:numRef>
              <c:f>'Self-assessment'!$H$8:$H$15</c:f>
              <c:numCache>
                <c:formatCode>General</c:formatCode>
                <c:ptCount val="8"/>
                <c:pt idx="0">
                  <c:v>10</c:v>
                </c:pt>
                <c:pt idx="1">
                  <c:v>10</c:v>
                </c:pt>
                <c:pt idx="2">
                  <c:v>10</c:v>
                </c:pt>
                <c:pt idx="3">
                  <c:v>10</c:v>
                </c:pt>
                <c:pt idx="4">
                  <c:v>10</c:v>
                </c:pt>
                <c:pt idx="5">
                  <c:v>10</c:v>
                </c:pt>
                <c:pt idx="6">
                  <c:v>10</c:v>
                </c:pt>
                <c:pt idx="7">
                  <c:v>10</c:v>
                </c:pt>
              </c:numCache>
            </c:numRef>
          </c:val>
          <c:extLst>
            <c:ext xmlns:c16="http://schemas.microsoft.com/office/drawing/2014/chart" uri="{C3380CC4-5D6E-409C-BE32-E72D297353CC}">
              <c16:uniqueId val="{00000001-AE8F-4FD9-B367-C0D1E6CC74F0}"/>
            </c:ext>
          </c:extLst>
        </c:ser>
        <c:dLbls>
          <c:showLegendKey val="0"/>
          <c:showVal val="0"/>
          <c:showCatName val="0"/>
          <c:showSerName val="0"/>
          <c:showPercent val="0"/>
          <c:showBubbleSize val="0"/>
        </c:dLbls>
        <c:axId val="322485039"/>
        <c:axId val="322489359"/>
      </c:radarChart>
      <c:catAx>
        <c:axId val="32248503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nl-NL"/>
          </a:p>
        </c:txPr>
        <c:crossAx val="322489359"/>
        <c:crosses val="autoZero"/>
        <c:auto val="1"/>
        <c:lblAlgn val="ctr"/>
        <c:lblOffset val="100"/>
        <c:noMultiLvlLbl val="0"/>
      </c:catAx>
      <c:valAx>
        <c:axId val="32248935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nl-NL"/>
          </a:p>
        </c:txPr>
        <c:crossAx val="3224850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9">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
  <cs:dataPoint3D>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3D>
  <cs:dataPointLine>
    <cs:lnRef idx="0">
      <cs:styleClr val="auto"/>
    </cs:lnRef>
    <cs:fillRef idx="0"/>
    <cs:effectRef idx="0"/>
    <cs:fontRef idx="minor">
      <a:schemeClr val="tx1"/>
    </cs:fontRef>
    <cs:spPr>
      <a:ln w="50800" cap="rnd" cmpd="sng" algn="ctr">
        <a:solidFill>
          <a:schemeClr val="phClr">
            <a:alpha val="30000"/>
          </a:schemeClr>
        </a:solidFill>
        <a:round/>
      </a:ln>
    </cs:spPr>
  </cs:dataPointLine>
  <cs:dataPointMarker>
    <cs:lnRef idx="0"/>
    <cs:fillRef idx="0">
      <cs:styleClr val="auto"/>
    </cs:fillRef>
    <cs:effectRef idx="0"/>
    <cs:fontRef idx="minor">
      <a:schemeClr val="tx1"/>
    </cs:fontRef>
    <cs:spPr>
      <a:solidFill>
        <a:schemeClr val="phClr"/>
      </a:solidFill>
      <a:ln w="12700" cap="flat" cmpd="sng" algn="ctr">
        <a:solidFill>
          <a:schemeClr val="lt1"/>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4928383</xdr:colOff>
      <xdr:row>0</xdr:row>
      <xdr:rowOff>1571625</xdr:rowOff>
    </xdr:to>
    <xdr:pic>
      <xdr:nvPicPr>
        <xdr:cNvPr id="2" name="Afbeelding 1">
          <a:extLst>
            <a:ext uri="{FF2B5EF4-FFF2-40B4-BE49-F238E27FC236}">
              <a16:creationId xmlns:a16="http://schemas.microsoft.com/office/drawing/2014/main" id="{10286645-43EC-46A1-B403-91147171833D}"/>
            </a:ext>
          </a:extLst>
        </xdr:cNvPr>
        <xdr:cNvPicPr>
          <a:picLocks noChangeAspect="1"/>
        </xdr:cNvPicPr>
      </xdr:nvPicPr>
      <xdr:blipFill>
        <a:blip xmlns:r="http://schemas.openxmlformats.org/officeDocument/2006/relationships" r:embed="rId1"/>
        <a:stretch>
          <a:fillRect/>
        </a:stretch>
      </xdr:blipFill>
      <xdr:spPr>
        <a:xfrm>
          <a:off x="685800" y="0"/>
          <a:ext cx="4928383" cy="1571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5952</xdr:colOff>
      <xdr:row>1</xdr:row>
      <xdr:rowOff>3571</xdr:rowOff>
    </xdr:from>
    <xdr:to>
      <xdr:col>20</xdr:col>
      <xdr:colOff>-1</xdr:colOff>
      <xdr:row>11</xdr:row>
      <xdr:rowOff>714374</xdr:rowOff>
    </xdr:to>
    <xdr:graphicFrame macro="">
      <xdr:nvGraphicFramePr>
        <xdr:cNvPr id="2" name="Grafiek 1">
          <a:extLst>
            <a:ext uri="{FF2B5EF4-FFF2-40B4-BE49-F238E27FC236}">
              <a16:creationId xmlns:a16="http://schemas.microsoft.com/office/drawing/2014/main" id="{1AE6F1F5-528F-4EEA-B63C-70FE2B3F0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C31FFC-4476-46A4-8B1C-F456B6402831}" name="Tabel224" displayName="Tabel224" ref="A2:D10" totalsRowShown="0" headerRowDxfId="17" dataDxfId="15" headerRowBorderDxfId="16" tableBorderDxfId="14" totalsRowBorderDxfId="13">
  <autoFilter ref="A2:D10" xr:uid="{93C31FFC-4476-46A4-8B1C-F456B6402831}"/>
  <tableColumns count="4">
    <tableColumn id="4" xr3:uid="{76FF2F80-18C1-43E4-ABEE-8E03ADF0AE9E}" name="Sovereignty Objective" dataDxfId="12"/>
    <tableColumn id="1" xr3:uid="{4D822BDA-49C0-46BC-9930-64E757654C7E}" name="Sovereignty Objective Description" dataDxfId="11"/>
    <tableColumn id="5" xr3:uid="{1DB0CCCA-32BE-4A3C-8938-EAB4EA1713B7}" name="Dreigingstype" dataDxfId="10"/>
    <tableColumn id="2" xr3:uid="{4DF397AA-A87C-4FC5-8206-8A250809265C}" name="Voorbeelden van dreigingen" dataDxfId="9"/>
  </tableColumns>
  <tableStyleInfo name="TableStyleMedium10"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FA80E6-8356-430E-B160-F9B586486B55}" name="Tabel262" displayName="Tabel262" ref="A2:E8" totalsRowShown="0" headerRowDxfId="27" dataDxfId="25" headerRowBorderDxfId="26" tableBorderDxfId="24" totalsRowBorderDxfId="23">
  <autoFilter ref="A2:E8" xr:uid="{33733CB3-AEBA-4007-9B7B-0216B24E9774}"/>
  <tableColumns count="5">
    <tableColumn id="1" xr3:uid="{B14F7E46-C14C-42D7-B33C-EAE58C2F7206}" name="Motivatietype" dataDxfId="22"/>
    <tableColumn id="2" xr3:uid="{DED72C56-B85E-4041-A804-9670248E4699}" name="Uitdaging (Thrill)" dataDxfId="21"/>
    <tableColumn id="3" xr3:uid="{FB30831E-E624-465E-8921-08276D2F428B}" name="Idealisme" dataDxfId="20"/>
    <tableColumn id="4" xr3:uid="{99B2057B-0BAC-44F3-9116-20FDB76A10AC}" name="Financieel gewin" dataDxfId="19"/>
    <tableColumn id="5" xr3:uid="{DDD86F0A-B753-4C40-B953-FFFCD3D6F44F}" name="Statelijke actor" dataDxfId="18"/>
  </tableColumns>
  <tableStyleInfo name="TableStyleMedium10"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88207B-5D8E-4D1A-874F-D540E46ADFFD}" name="Tabel26" displayName="Tabel26" ref="A2:F9" totalsRowShown="0" headerRowDxfId="8" dataDxfId="7" tableBorderDxfId="6">
  <autoFilter ref="A2:F9" xr:uid="{33733CB3-AEBA-4007-9B7B-0216B24E9774}"/>
  <tableColumns count="6">
    <tableColumn id="1" xr3:uid="{534F225C-AAE8-46A2-B0CA-E70C49D48C7F}" name="Kolom1" dataDxfId="5"/>
    <tableColumn id="2" xr3:uid="{F5D3DCE9-2099-4545-8F19-1630FCAC6BB7}" name="I" dataDxfId="4"/>
    <tableColumn id="3" xr3:uid="{B90A3AB6-7EB3-4595-9145-32A45DA5AD69}" name="2" dataDxfId="3"/>
    <tableColumn id="4" xr3:uid="{27A699D8-D974-4E82-8A1F-C4FF5E56CBB1}" name="3" dataDxfId="2"/>
    <tableColumn id="5" xr3:uid="{6490786C-D867-4BF4-9440-329636A8284C}" name="4" dataDxfId="1"/>
    <tableColumn id="6" xr3:uid="{E8DF462B-3A71-422B-B0BF-484FDDF8F63F}" name="5" dataDxfId="0"/>
  </tableColumns>
  <tableStyleInfo name="TableStyleMedium10"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2AB7-095C-4A87-8651-263FBC567073}">
  <sheetPr codeName="Blad1"/>
  <dimension ref="B1:B7"/>
  <sheetViews>
    <sheetView workbookViewId="0">
      <selection activeCell="B7" sqref="B7"/>
    </sheetView>
  </sheetViews>
  <sheetFormatPr defaultRowHeight="15" x14ac:dyDescent="0.25"/>
  <cols>
    <col min="2" max="2" width="141" style="1" customWidth="1"/>
  </cols>
  <sheetData>
    <row r="1" spans="2:2" ht="163.5" customHeight="1" x14ac:dyDescent="0.25"/>
    <row r="2" spans="2:2" x14ac:dyDescent="0.25">
      <c r="B2" s="1" t="s">
        <v>0</v>
      </c>
    </row>
    <row r="4" spans="2:2" ht="30" x14ac:dyDescent="0.25">
      <c r="B4" s="1" t="s">
        <v>1</v>
      </c>
    </row>
    <row r="5" spans="2:2" x14ac:dyDescent="0.25">
      <c r="B5" s="1" t="s">
        <v>2</v>
      </c>
    </row>
    <row r="6" spans="2:2" ht="75" x14ac:dyDescent="0.25">
      <c r="B6" s="1" t="s">
        <v>3</v>
      </c>
    </row>
    <row r="7" spans="2:2" ht="45" x14ac:dyDescent="0.25">
      <c r="B7" s="1" t="s">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82053-DACF-4FF8-A5AF-849776538FC1}">
  <sheetPr codeName="Blad2">
    <pageSetUpPr fitToPage="1"/>
  </sheetPr>
  <dimension ref="A1:D10"/>
  <sheetViews>
    <sheetView tabSelected="1" zoomScale="80" zoomScaleNormal="80" workbookViewId="0">
      <selection activeCell="B1" sqref="B1"/>
    </sheetView>
  </sheetViews>
  <sheetFormatPr defaultColWidth="9.140625" defaultRowHeight="13.5" x14ac:dyDescent="0.25"/>
  <cols>
    <col min="1" max="1" width="29.140625" style="2" customWidth="1"/>
    <col min="2" max="2" width="60" style="2" bestFit="1" customWidth="1"/>
    <col min="3" max="3" width="57.7109375" style="2" bestFit="1" customWidth="1"/>
    <col min="4" max="4" width="92.140625" style="2" customWidth="1"/>
    <col min="5" max="16384" width="9.140625" style="2"/>
  </cols>
  <sheetData>
    <row r="1" spans="1:4" ht="24" x14ac:dyDescent="0.25">
      <c r="A1" s="62" t="s">
        <v>256</v>
      </c>
    </row>
    <row r="2" spans="1:4" x14ac:dyDescent="0.25">
      <c r="A2" s="22" t="s">
        <v>5</v>
      </c>
      <c r="B2" s="23" t="s">
        <v>6</v>
      </c>
      <c r="C2" s="23" t="s">
        <v>7</v>
      </c>
      <c r="D2" s="24" t="s">
        <v>8</v>
      </c>
    </row>
    <row r="3" spans="1:4" ht="94.5" x14ac:dyDescent="0.25">
      <c r="A3" s="25" t="s">
        <v>9</v>
      </c>
      <c r="B3" s="26" t="s">
        <v>10</v>
      </c>
      <c r="C3" s="26" t="s">
        <v>11</v>
      </c>
      <c r="D3" s="27" t="s">
        <v>243</v>
      </c>
    </row>
    <row r="4" spans="1:4" ht="108" x14ac:dyDescent="0.25">
      <c r="A4" s="25" t="s">
        <v>12</v>
      </c>
      <c r="B4" s="26" t="s">
        <v>13</v>
      </c>
      <c r="C4" s="26" t="s">
        <v>14</v>
      </c>
      <c r="D4" s="28" t="s">
        <v>244</v>
      </c>
    </row>
    <row r="5" spans="1:4" ht="108" x14ac:dyDescent="0.25">
      <c r="A5" s="25" t="s">
        <v>15</v>
      </c>
      <c r="B5" s="26" t="s">
        <v>16</v>
      </c>
      <c r="C5" s="26" t="s">
        <v>17</v>
      </c>
      <c r="D5" s="27" t="s">
        <v>245</v>
      </c>
    </row>
    <row r="6" spans="1:4" ht="94.5" x14ac:dyDescent="0.25">
      <c r="A6" s="25" t="s">
        <v>18</v>
      </c>
      <c r="B6" s="26" t="s">
        <v>19</v>
      </c>
      <c r="C6" s="26" t="s">
        <v>20</v>
      </c>
      <c r="D6" s="27" t="s">
        <v>246</v>
      </c>
    </row>
    <row r="7" spans="1:4" ht="54" x14ac:dyDescent="0.25">
      <c r="A7" s="25" t="s">
        <v>21</v>
      </c>
      <c r="B7" s="26" t="s">
        <v>22</v>
      </c>
      <c r="C7" s="26" t="s">
        <v>23</v>
      </c>
      <c r="D7" s="27" t="s">
        <v>247</v>
      </c>
    </row>
    <row r="8" spans="1:4" ht="94.5" x14ac:dyDescent="0.25">
      <c r="A8" s="25" t="s">
        <v>24</v>
      </c>
      <c r="B8" s="26" t="s">
        <v>25</v>
      </c>
      <c r="C8" s="26" t="s">
        <v>26</v>
      </c>
      <c r="D8" s="27" t="s">
        <v>248</v>
      </c>
    </row>
    <row r="9" spans="1:4" ht="54" x14ac:dyDescent="0.25">
      <c r="A9" s="25" t="s">
        <v>27</v>
      </c>
      <c r="B9" s="26" t="s">
        <v>28</v>
      </c>
      <c r="C9" s="26" t="s">
        <v>29</v>
      </c>
      <c r="D9" s="27" t="s">
        <v>249</v>
      </c>
    </row>
    <row r="10" spans="1:4" ht="40.5" x14ac:dyDescent="0.25">
      <c r="A10" s="29" t="s">
        <v>30</v>
      </c>
      <c r="B10" s="30" t="s">
        <v>31</v>
      </c>
      <c r="C10" s="30" t="s">
        <v>32</v>
      </c>
      <c r="D10" s="31" t="s">
        <v>250</v>
      </c>
    </row>
  </sheetData>
  <phoneticPr fontId="1" type="noConversion"/>
  <pageMargins left="0.25" right="0.25" top="0.75" bottom="0.75" header="0.3" footer="0.3"/>
  <pageSetup paperSize="8" scale="86"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B24FD-CE40-40CC-A5A4-856F973AEF4E}">
  <sheetPr>
    <pageSetUpPr fitToPage="1"/>
  </sheetPr>
  <dimension ref="A1:E8"/>
  <sheetViews>
    <sheetView zoomScale="77" zoomScaleNormal="77" workbookViewId="0">
      <selection activeCell="A9" sqref="A9"/>
    </sheetView>
  </sheetViews>
  <sheetFormatPr defaultColWidth="9.140625" defaultRowHeight="13.5" x14ac:dyDescent="0.25"/>
  <cols>
    <col min="1" max="1" width="43" style="2" bestFit="1" customWidth="1"/>
    <col min="2" max="2" width="60.28515625" style="2" customWidth="1"/>
    <col min="3" max="3" width="59.7109375" style="2" customWidth="1"/>
    <col min="4" max="4" width="56.140625" style="2" customWidth="1"/>
    <col min="5" max="5" width="49.5703125" style="2" customWidth="1"/>
    <col min="6" max="16384" width="9.140625" style="2"/>
  </cols>
  <sheetData>
    <row r="1" spans="1:5" x14ac:dyDescent="0.25">
      <c r="A1" s="60" t="s">
        <v>252</v>
      </c>
      <c r="B1" s="61"/>
      <c r="C1" s="61"/>
      <c r="D1" s="61"/>
      <c r="E1" s="61"/>
    </row>
    <row r="2" spans="1:5" x14ac:dyDescent="0.25">
      <c r="A2" s="46" t="s">
        <v>187</v>
      </c>
      <c r="B2" s="47" t="s">
        <v>191</v>
      </c>
      <c r="C2" s="47" t="s">
        <v>189</v>
      </c>
      <c r="D2" s="47" t="s">
        <v>190</v>
      </c>
      <c r="E2" s="48" t="s">
        <v>192</v>
      </c>
    </row>
    <row r="3" spans="1:5" ht="81" x14ac:dyDescent="0.25">
      <c r="A3" s="49"/>
      <c r="B3" s="40" t="s">
        <v>193</v>
      </c>
      <c r="C3" s="40" t="s">
        <v>194</v>
      </c>
      <c r="D3" s="40" t="s">
        <v>195</v>
      </c>
      <c r="E3" s="28" t="s">
        <v>196</v>
      </c>
    </row>
    <row r="4" spans="1:5" x14ac:dyDescent="0.25">
      <c r="A4" s="49" t="s">
        <v>188</v>
      </c>
      <c r="B4" s="50"/>
      <c r="C4" s="50"/>
      <c r="D4" s="50"/>
      <c r="E4" s="51"/>
    </row>
    <row r="5" spans="1:5" ht="84" customHeight="1" x14ac:dyDescent="0.25">
      <c r="A5" s="52" t="s">
        <v>197</v>
      </c>
      <c r="B5" s="40"/>
      <c r="C5" s="40"/>
      <c r="D5" s="40"/>
      <c r="E5" s="28"/>
    </row>
    <row r="6" spans="1:5" ht="100.5" customHeight="1" x14ac:dyDescent="0.25">
      <c r="A6" s="53" t="s">
        <v>198</v>
      </c>
      <c r="B6" s="54"/>
      <c r="C6" s="54"/>
      <c r="D6" s="54"/>
      <c r="E6" s="31"/>
    </row>
    <row r="7" spans="1:5" ht="105.75" customHeight="1" x14ac:dyDescent="0.25">
      <c r="A7" s="55" t="s">
        <v>253</v>
      </c>
      <c r="B7" s="54"/>
      <c r="C7" s="54"/>
      <c r="D7" s="54"/>
      <c r="E7" s="31"/>
    </row>
    <row r="8" spans="1:5" ht="102.75" customHeight="1" x14ac:dyDescent="0.25">
      <c r="A8" s="55" t="s">
        <v>254</v>
      </c>
      <c r="B8" s="54"/>
      <c r="C8" s="54"/>
      <c r="D8" s="54"/>
      <c r="E8" s="31"/>
    </row>
  </sheetData>
  <protectedRanges>
    <protectedRange sqref="B5:E8" name="Invulvelden"/>
  </protectedRanges>
  <mergeCells count="1">
    <mergeCell ref="A1:E1"/>
  </mergeCells>
  <pageMargins left="0.25" right="0.25" top="0.75" bottom="0.75" header="0.3" footer="0.3"/>
  <pageSetup paperSize="8" scale="76" orientation="landscape" horizontalDpi="200" verticalDpi="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9D621-5DDB-4DC9-8F09-04E73FED06A1}">
  <sheetPr codeName="Blad3">
    <pageSetUpPr fitToPage="1"/>
  </sheetPr>
  <dimension ref="A1:F9"/>
  <sheetViews>
    <sheetView zoomScale="77" zoomScaleNormal="77" workbookViewId="0"/>
  </sheetViews>
  <sheetFormatPr defaultColWidth="9.140625" defaultRowHeight="13.5" x14ac:dyDescent="0.25"/>
  <cols>
    <col min="1" max="1" width="38.140625" style="3" customWidth="1"/>
    <col min="2" max="2" width="48.28515625" style="3" customWidth="1"/>
    <col min="3" max="3" width="45" style="3" customWidth="1"/>
    <col min="4" max="4" width="45.42578125" style="3" customWidth="1"/>
    <col min="5" max="5" width="42.28515625" style="3" customWidth="1"/>
    <col min="6" max="6" width="46.42578125" style="3" customWidth="1"/>
    <col min="7" max="16384" width="9.140625" style="3"/>
  </cols>
  <sheetData>
    <row r="1" spans="1:6" ht="24" x14ac:dyDescent="0.4">
      <c r="A1" s="63" t="s">
        <v>257</v>
      </c>
    </row>
    <row r="2" spans="1:6" x14ac:dyDescent="0.25">
      <c r="A2" s="32" t="s">
        <v>33</v>
      </c>
      <c r="B2" s="33" t="s">
        <v>34</v>
      </c>
      <c r="C2" s="33" t="s">
        <v>35</v>
      </c>
      <c r="D2" s="33" t="s">
        <v>36</v>
      </c>
      <c r="E2" s="33" t="s">
        <v>37</v>
      </c>
      <c r="F2" s="34" t="s">
        <v>38</v>
      </c>
    </row>
    <row r="3" spans="1:6" x14ac:dyDescent="0.25">
      <c r="A3" s="35" t="s">
        <v>39</v>
      </c>
      <c r="B3" s="36" t="s">
        <v>40</v>
      </c>
      <c r="C3" s="36" t="s">
        <v>41</v>
      </c>
      <c r="D3" s="36" t="s">
        <v>42</v>
      </c>
      <c r="E3" s="36" t="s">
        <v>43</v>
      </c>
      <c r="F3" s="36" t="s">
        <v>44</v>
      </c>
    </row>
    <row r="4" spans="1:6" ht="27" x14ac:dyDescent="0.25">
      <c r="A4" s="37"/>
      <c r="B4" s="38" t="s">
        <v>45</v>
      </c>
      <c r="C4" s="38" t="s">
        <v>46</v>
      </c>
      <c r="D4" s="38" t="s">
        <v>47</v>
      </c>
      <c r="E4" s="38" t="s">
        <v>48</v>
      </c>
      <c r="F4" s="38" t="s">
        <v>49</v>
      </c>
    </row>
    <row r="5" spans="1:6" ht="84" customHeight="1" x14ac:dyDescent="0.25">
      <c r="A5" s="39" t="s">
        <v>50</v>
      </c>
      <c r="B5" s="40" t="s">
        <v>51</v>
      </c>
      <c r="C5" s="40" t="s">
        <v>52</v>
      </c>
      <c r="D5" s="40" t="s">
        <v>53</v>
      </c>
      <c r="E5" s="40" t="s">
        <v>54</v>
      </c>
      <c r="F5" s="40" t="s">
        <v>55</v>
      </c>
    </row>
    <row r="6" spans="1:6" ht="108.75" customHeight="1" x14ac:dyDescent="0.25">
      <c r="A6" s="39" t="s">
        <v>56</v>
      </c>
      <c r="B6" s="40" t="s">
        <v>57</v>
      </c>
      <c r="C6" s="40" t="s">
        <v>58</v>
      </c>
      <c r="D6" s="40" t="s">
        <v>59</v>
      </c>
      <c r="E6" s="40" t="s">
        <v>60</v>
      </c>
      <c r="F6" s="40" t="s">
        <v>61</v>
      </c>
    </row>
    <row r="7" spans="1:6" ht="100.5" customHeight="1" x14ac:dyDescent="0.25">
      <c r="A7" s="39" t="s">
        <v>62</v>
      </c>
      <c r="B7" s="40" t="s">
        <v>63</v>
      </c>
      <c r="C7" s="40" t="s">
        <v>64</v>
      </c>
      <c r="D7" s="40" t="s">
        <v>65</v>
      </c>
      <c r="E7" s="40" t="s">
        <v>66</v>
      </c>
      <c r="F7" s="40" t="s">
        <v>67</v>
      </c>
    </row>
    <row r="8" spans="1:6" ht="129.75" customHeight="1" x14ac:dyDescent="0.25">
      <c r="A8" s="39" t="s">
        <v>68</v>
      </c>
      <c r="B8" s="40" t="s">
        <v>69</v>
      </c>
      <c r="C8" s="40" t="s">
        <v>70</v>
      </c>
      <c r="D8" s="40" t="s">
        <v>71</v>
      </c>
      <c r="E8" s="40" t="s">
        <v>72</v>
      </c>
      <c r="F8" s="40" t="s">
        <v>73</v>
      </c>
    </row>
    <row r="9" spans="1:6" ht="129.75" customHeight="1" x14ac:dyDescent="0.25">
      <c r="A9" s="39" t="s">
        <v>74</v>
      </c>
      <c r="B9" s="40" t="s">
        <v>75</v>
      </c>
      <c r="C9" s="40" t="s">
        <v>76</v>
      </c>
      <c r="D9" s="40" t="s">
        <v>77</v>
      </c>
      <c r="E9" s="40" t="s">
        <v>78</v>
      </c>
      <c r="F9" s="40" t="s">
        <v>79</v>
      </c>
    </row>
  </sheetData>
  <protectedRanges>
    <protectedRange sqref="B5:F9" name="Invulvelden"/>
  </protectedRanges>
  <pageMargins left="0.25" right="0.25" top="0.75" bottom="0.75" header="0.3" footer="0.3"/>
  <pageSetup paperSize="8" scale="77" orientation="landscape"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88645-B488-40D5-A246-08278AC71A99}">
  <dimension ref="A1:H45"/>
  <sheetViews>
    <sheetView zoomScale="80" zoomScaleNormal="80" workbookViewId="0">
      <selection activeCell="B11" sqref="B11"/>
    </sheetView>
  </sheetViews>
  <sheetFormatPr defaultColWidth="9.140625" defaultRowHeight="15" x14ac:dyDescent="0.25"/>
  <cols>
    <col min="1" max="1" width="19.140625" style="12" customWidth="1"/>
    <col min="2" max="2" width="72.140625" style="13" customWidth="1"/>
    <col min="3" max="5" width="9.140625" style="12"/>
    <col min="6" max="6" width="36.42578125" style="12" bestFit="1" customWidth="1"/>
    <col min="7" max="7" width="15" style="12" customWidth="1"/>
    <col min="8" max="8" width="13.7109375" style="12" bestFit="1" customWidth="1"/>
    <col min="9" max="16384" width="9.140625" style="12"/>
  </cols>
  <sheetData>
    <row r="1" spans="1:8" ht="15.75" thickBot="1" x14ac:dyDescent="0.3"/>
    <row r="2" spans="1:8" x14ac:dyDescent="0.25">
      <c r="A2" s="14" t="s">
        <v>80</v>
      </c>
      <c r="B2" s="14" t="s">
        <v>81</v>
      </c>
      <c r="C2" s="14" t="s">
        <v>82</v>
      </c>
      <c r="D2" s="14" t="s">
        <v>83</v>
      </c>
      <c r="F2" s="19" t="s">
        <v>84</v>
      </c>
      <c r="G2" s="19" t="s">
        <v>85</v>
      </c>
    </row>
    <row r="3" spans="1:8" ht="30.75" thickBot="1" x14ac:dyDescent="0.3">
      <c r="A3" s="4" t="s">
        <v>9</v>
      </c>
      <c r="B3" s="15" t="s">
        <v>145</v>
      </c>
      <c r="C3" s="17">
        <v>2</v>
      </c>
      <c r="D3" s="18">
        <v>2</v>
      </c>
      <c r="F3" s="19">
        <v>0</v>
      </c>
      <c r="G3" s="19" t="s">
        <v>86</v>
      </c>
    </row>
    <row r="4" spans="1:8" ht="27.75" thickBot="1" x14ac:dyDescent="0.3">
      <c r="A4" s="4" t="s">
        <v>9</v>
      </c>
      <c r="B4" s="16" t="s">
        <v>146</v>
      </c>
      <c r="C4" s="17">
        <v>2</v>
      </c>
      <c r="D4" s="18">
        <v>2</v>
      </c>
      <c r="F4" s="19">
        <v>1</v>
      </c>
      <c r="G4" s="19" t="s">
        <v>87</v>
      </c>
    </row>
    <row r="5" spans="1:8" ht="30.75" thickBot="1" x14ac:dyDescent="0.3">
      <c r="A5" s="4" t="s">
        <v>9</v>
      </c>
      <c r="B5" s="15" t="s">
        <v>147</v>
      </c>
      <c r="C5" s="17">
        <v>0</v>
      </c>
      <c r="D5" s="18">
        <v>2</v>
      </c>
      <c r="F5" s="19">
        <v>2</v>
      </c>
      <c r="G5" s="19" t="s">
        <v>88</v>
      </c>
    </row>
    <row r="6" spans="1:8" ht="30.75" thickBot="1" x14ac:dyDescent="0.3">
      <c r="A6" s="4" t="s">
        <v>9</v>
      </c>
      <c r="B6" s="16" t="s">
        <v>148</v>
      </c>
      <c r="C6" s="17">
        <v>0</v>
      </c>
      <c r="D6" s="18">
        <v>2</v>
      </c>
    </row>
    <row r="7" spans="1:8" ht="30.75" thickBot="1" x14ac:dyDescent="0.3">
      <c r="A7" s="4" t="s">
        <v>9</v>
      </c>
      <c r="B7" s="15" t="s">
        <v>149</v>
      </c>
      <c r="C7" s="17">
        <v>1</v>
      </c>
      <c r="D7" s="18">
        <v>2</v>
      </c>
      <c r="F7" s="14" t="s">
        <v>80</v>
      </c>
      <c r="G7" s="14" t="s">
        <v>82</v>
      </c>
      <c r="H7" s="14" t="s">
        <v>83</v>
      </c>
    </row>
    <row r="8" spans="1:8" ht="30.75" thickBot="1" x14ac:dyDescent="0.3">
      <c r="A8" s="4" t="s">
        <v>9</v>
      </c>
      <c r="B8" s="16" t="s">
        <v>150</v>
      </c>
      <c r="C8" s="17">
        <v>2</v>
      </c>
      <c r="D8" s="18">
        <v>2</v>
      </c>
      <c r="E8" s="12">
        <f>COUNTIF(A$3:A$45,F8)</f>
        <v>6</v>
      </c>
      <c r="F8" s="4" t="s">
        <v>9</v>
      </c>
      <c r="G8" s="21">
        <f>ROUND(SUMIF($A$3:$A$45,F8,$C$3:$C$45)/E8*5,2)</f>
        <v>5.83</v>
      </c>
      <c r="H8" s="20">
        <f>ROUND(SUMIF($A$3:$A$45,F8,$D$3:$D$45)/E8*5,2)</f>
        <v>10</v>
      </c>
    </row>
    <row r="9" spans="1:8" ht="41.25" thickBot="1" x14ac:dyDescent="0.3">
      <c r="A9" s="4" t="s">
        <v>12</v>
      </c>
      <c r="B9" s="15" t="s">
        <v>151</v>
      </c>
      <c r="C9" s="17">
        <v>0</v>
      </c>
      <c r="D9" s="18">
        <v>2</v>
      </c>
      <c r="E9" s="12">
        <f t="shared" ref="E9:E15" si="0">COUNTIF(A$3:A$45,F9)</f>
        <v>5</v>
      </c>
      <c r="F9" s="4" t="s">
        <v>12</v>
      </c>
      <c r="G9" s="21">
        <f t="shared" ref="G9:G15" si="1">ROUND(SUMIF($A$3:$A$45,F9,$C$3:$C$45)/E9*5,2)</f>
        <v>4</v>
      </c>
      <c r="H9" s="20">
        <f t="shared" ref="H9:H15" si="2">ROUND(SUMIF($A$3:$A$45,F9,$D$3:$D$45)/E9*5,2)</f>
        <v>10</v>
      </c>
    </row>
    <row r="10" spans="1:8" ht="41.25" thickBot="1" x14ac:dyDescent="0.3">
      <c r="A10" s="4" t="s">
        <v>12</v>
      </c>
      <c r="B10" s="16" t="s">
        <v>152</v>
      </c>
      <c r="C10" s="17">
        <v>1</v>
      </c>
      <c r="D10" s="18">
        <v>2</v>
      </c>
      <c r="E10" s="12">
        <f t="shared" si="0"/>
        <v>7</v>
      </c>
      <c r="F10" s="4" t="s">
        <v>15</v>
      </c>
      <c r="G10" s="21">
        <f t="shared" si="1"/>
        <v>7.14</v>
      </c>
      <c r="H10" s="20">
        <f t="shared" si="2"/>
        <v>10</v>
      </c>
    </row>
    <row r="11" spans="1:8" ht="41.25" thickBot="1" x14ac:dyDescent="0.3">
      <c r="A11" s="4" t="s">
        <v>12</v>
      </c>
      <c r="B11" s="15" t="s">
        <v>153</v>
      </c>
      <c r="C11" s="17">
        <v>2</v>
      </c>
      <c r="D11" s="18">
        <v>2</v>
      </c>
      <c r="E11" s="12">
        <f t="shared" si="0"/>
        <v>6</v>
      </c>
      <c r="F11" s="4" t="s">
        <v>18</v>
      </c>
      <c r="G11" s="21">
        <f t="shared" si="1"/>
        <v>5</v>
      </c>
      <c r="H11" s="20">
        <f t="shared" si="2"/>
        <v>10</v>
      </c>
    </row>
    <row r="12" spans="1:8" ht="41.25" thickBot="1" x14ac:dyDescent="0.3">
      <c r="A12" s="4" t="s">
        <v>12</v>
      </c>
      <c r="B12" s="16" t="s">
        <v>154</v>
      </c>
      <c r="C12" s="17">
        <v>0</v>
      </c>
      <c r="D12" s="18">
        <v>2</v>
      </c>
      <c r="E12" s="12">
        <f t="shared" si="0"/>
        <v>5</v>
      </c>
      <c r="F12" s="4" t="s">
        <v>21</v>
      </c>
      <c r="G12" s="21">
        <f t="shared" si="1"/>
        <v>4</v>
      </c>
      <c r="H12" s="20">
        <f t="shared" si="2"/>
        <v>10</v>
      </c>
    </row>
    <row r="13" spans="1:8" ht="41.25" thickBot="1" x14ac:dyDescent="0.3">
      <c r="A13" s="4" t="s">
        <v>12</v>
      </c>
      <c r="B13" s="15" t="s">
        <v>155</v>
      </c>
      <c r="C13" s="17">
        <v>1</v>
      </c>
      <c r="D13" s="18">
        <v>2</v>
      </c>
      <c r="E13" s="12">
        <f t="shared" si="0"/>
        <v>6</v>
      </c>
      <c r="F13" s="4" t="s">
        <v>24</v>
      </c>
      <c r="G13" s="21">
        <f t="shared" si="1"/>
        <v>5</v>
      </c>
      <c r="H13" s="20">
        <f t="shared" si="2"/>
        <v>10</v>
      </c>
    </row>
    <row r="14" spans="1:8" ht="30.75" thickBot="1" x14ac:dyDescent="0.3">
      <c r="A14" s="4" t="s">
        <v>15</v>
      </c>
      <c r="B14" s="16" t="s">
        <v>156</v>
      </c>
      <c r="C14" s="17">
        <v>2</v>
      </c>
      <c r="D14" s="18">
        <v>2</v>
      </c>
      <c r="E14" s="12">
        <f t="shared" si="0"/>
        <v>5</v>
      </c>
      <c r="F14" s="4" t="s">
        <v>27</v>
      </c>
      <c r="G14" s="21">
        <f t="shared" si="1"/>
        <v>4</v>
      </c>
      <c r="H14" s="20">
        <f t="shared" si="2"/>
        <v>10</v>
      </c>
    </row>
    <row r="15" spans="1:8" ht="27.75" thickBot="1" x14ac:dyDescent="0.3">
      <c r="A15" s="4" t="s">
        <v>15</v>
      </c>
      <c r="B15" s="15" t="s">
        <v>157</v>
      </c>
      <c r="C15" s="17">
        <v>0</v>
      </c>
      <c r="D15" s="18">
        <v>2</v>
      </c>
      <c r="E15" s="12">
        <f t="shared" si="0"/>
        <v>3</v>
      </c>
      <c r="F15" s="4" t="s">
        <v>30</v>
      </c>
      <c r="G15" s="21">
        <f t="shared" si="1"/>
        <v>5</v>
      </c>
      <c r="H15" s="20">
        <f t="shared" si="2"/>
        <v>10</v>
      </c>
    </row>
    <row r="16" spans="1:8" ht="27.75" thickBot="1" x14ac:dyDescent="0.3">
      <c r="A16" s="4" t="s">
        <v>15</v>
      </c>
      <c r="B16" s="16" t="s">
        <v>158</v>
      </c>
      <c r="C16" s="17">
        <v>2</v>
      </c>
      <c r="D16" s="18">
        <v>2</v>
      </c>
    </row>
    <row r="17" spans="1:8" ht="30.75" thickBot="1" x14ac:dyDescent="0.3">
      <c r="A17" s="4" t="s">
        <v>15</v>
      </c>
      <c r="B17" s="15" t="s">
        <v>159</v>
      </c>
      <c r="C17" s="17">
        <v>2</v>
      </c>
      <c r="D17" s="18">
        <v>2</v>
      </c>
    </row>
    <row r="18" spans="1:8" ht="30.75" thickBot="1" x14ac:dyDescent="0.3">
      <c r="A18" s="4" t="s">
        <v>15</v>
      </c>
      <c r="B18" s="16" t="s">
        <v>160</v>
      </c>
      <c r="C18" s="17">
        <v>1</v>
      </c>
      <c r="D18" s="18">
        <v>2</v>
      </c>
    </row>
    <row r="19" spans="1:8" ht="30.75" thickBot="1" x14ac:dyDescent="0.3">
      <c r="A19" s="4" t="s">
        <v>15</v>
      </c>
      <c r="B19" s="15" t="s">
        <v>161</v>
      </c>
      <c r="C19" s="17">
        <v>2</v>
      </c>
      <c r="D19" s="18">
        <v>2</v>
      </c>
    </row>
    <row r="20" spans="1:8" ht="30.75" thickBot="1" x14ac:dyDescent="0.3">
      <c r="A20" s="4" t="s">
        <v>15</v>
      </c>
      <c r="B20" s="16" t="s">
        <v>162</v>
      </c>
      <c r="C20" s="17">
        <v>1</v>
      </c>
      <c r="D20" s="18">
        <v>2</v>
      </c>
    </row>
    <row r="21" spans="1:8" ht="30.75" thickBot="1" x14ac:dyDescent="0.3">
      <c r="A21" s="4" t="s">
        <v>18</v>
      </c>
      <c r="B21" s="15" t="s">
        <v>163</v>
      </c>
      <c r="C21" s="17">
        <v>0</v>
      </c>
      <c r="D21" s="18">
        <v>2</v>
      </c>
    </row>
    <row r="22" spans="1:8" ht="45.75" thickBot="1" x14ac:dyDescent="0.3">
      <c r="A22" s="4" t="s">
        <v>18</v>
      </c>
      <c r="B22" s="16" t="s">
        <v>164</v>
      </c>
      <c r="C22" s="17">
        <v>1</v>
      </c>
      <c r="D22" s="18">
        <v>2</v>
      </c>
    </row>
    <row r="23" spans="1:8" ht="30.75" thickBot="1" x14ac:dyDescent="0.3">
      <c r="A23" s="4" t="s">
        <v>18</v>
      </c>
      <c r="B23" s="15" t="s">
        <v>165</v>
      </c>
      <c r="C23" s="17">
        <v>2</v>
      </c>
      <c r="D23" s="18">
        <v>2</v>
      </c>
      <c r="H23"/>
    </row>
    <row r="24" spans="1:8" ht="45.75" thickBot="1" x14ac:dyDescent="0.3">
      <c r="A24" s="4" t="s">
        <v>18</v>
      </c>
      <c r="B24" s="16" t="s">
        <v>166</v>
      </c>
      <c r="C24" s="17">
        <v>0</v>
      </c>
      <c r="D24" s="18">
        <v>2</v>
      </c>
      <c r="H24"/>
    </row>
    <row r="25" spans="1:8" ht="30.75" thickBot="1" x14ac:dyDescent="0.3">
      <c r="A25" s="4" t="s">
        <v>18</v>
      </c>
      <c r="B25" s="15" t="s">
        <v>167</v>
      </c>
      <c r="C25" s="17">
        <v>1</v>
      </c>
      <c r="D25" s="18">
        <v>2</v>
      </c>
      <c r="H25"/>
    </row>
    <row r="26" spans="1:8" ht="30.75" thickBot="1" x14ac:dyDescent="0.3">
      <c r="A26" s="4" t="s">
        <v>18</v>
      </c>
      <c r="B26" s="16" t="s">
        <v>168</v>
      </c>
      <c r="C26" s="17">
        <v>2</v>
      </c>
      <c r="D26" s="18">
        <v>2</v>
      </c>
      <c r="H26"/>
    </row>
    <row r="27" spans="1:8" ht="45.75" thickBot="1" x14ac:dyDescent="0.3">
      <c r="A27" s="4" t="s">
        <v>21</v>
      </c>
      <c r="B27" s="15" t="s">
        <v>169</v>
      </c>
      <c r="C27" s="17">
        <v>0</v>
      </c>
      <c r="D27" s="18">
        <v>2</v>
      </c>
      <c r="G27"/>
      <c r="H27"/>
    </row>
    <row r="28" spans="1:8" ht="30.75" thickBot="1" x14ac:dyDescent="0.3">
      <c r="A28" s="4" t="s">
        <v>21</v>
      </c>
      <c r="B28" s="16" t="s">
        <v>170</v>
      </c>
      <c r="C28" s="17">
        <v>1</v>
      </c>
      <c r="D28" s="18">
        <v>2</v>
      </c>
    </row>
    <row r="29" spans="1:8" ht="30.75" thickBot="1" x14ac:dyDescent="0.3">
      <c r="A29" s="4" t="s">
        <v>21</v>
      </c>
      <c r="B29" s="15" t="s">
        <v>171</v>
      </c>
      <c r="C29" s="17">
        <v>2</v>
      </c>
      <c r="D29" s="18">
        <v>2</v>
      </c>
    </row>
    <row r="30" spans="1:8" ht="30.75" thickBot="1" x14ac:dyDescent="0.3">
      <c r="A30" s="4" t="s">
        <v>21</v>
      </c>
      <c r="B30" s="16" t="s">
        <v>172</v>
      </c>
      <c r="C30" s="17">
        <v>0</v>
      </c>
      <c r="D30" s="18">
        <v>2</v>
      </c>
    </row>
    <row r="31" spans="1:8" ht="30.75" thickBot="1" x14ac:dyDescent="0.3">
      <c r="A31" s="4" t="s">
        <v>21</v>
      </c>
      <c r="B31" s="15" t="s">
        <v>173</v>
      </c>
      <c r="C31" s="17">
        <v>1</v>
      </c>
      <c r="D31" s="18">
        <v>2</v>
      </c>
    </row>
    <row r="32" spans="1:8" ht="30.75" thickBot="1" x14ac:dyDescent="0.3">
      <c r="A32" s="4" t="s">
        <v>24</v>
      </c>
      <c r="B32" s="16" t="s">
        <v>174</v>
      </c>
      <c r="C32" s="17">
        <v>1</v>
      </c>
      <c r="D32" s="18">
        <v>2</v>
      </c>
    </row>
    <row r="33" spans="1:4" ht="45.75" thickBot="1" x14ac:dyDescent="0.3">
      <c r="A33" s="4" t="s">
        <v>24</v>
      </c>
      <c r="B33" s="15" t="s">
        <v>175</v>
      </c>
      <c r="C33" s="17">
        <v>2</v>
      </c>
      <c r="D33" s="18">
        <v>2</v>
      </c>
    </row>
    <row r="34" spans="1:4" ht="45.75" thickBot="1" x14ac:dyDescent="0.3">
      <c r="A34" s="4" t="s">
        <v>24</v>
      </c>
      <c r="B34" s="16" t="s">
        <v>176</v>
      </c>
      <c r="C34" s="17">
        <v>0</v>
      </c>
      <c r="D34" s="18">
        <v>2</v>
      </c>
    </row>
    <row r="35" spans="1:4" ht="30.75" thickBot="1" x14ac:dyDescent="0.3">
      <c r="A35" s="4" t="s">
        <v>24</v>
      </c>
      <c r="B35" s="15" t="s">
        <v>177</v>
      </c>
      <c r="C35" s="17">
        <v>1</v>
      </c>
      <c r="D35" s="18">
        <v>2</v>
      </c>
    </row>
    <row r="36" spans="1:4" ht="30.75" thickBot="1" x14ac:dyDescent="0.3">
      <c r="A36" s="4" t="s">
        <v>24</v>
      </c>
      <c r="B36" s="16" t="s">
        <v>89</v>
      </c>
      <c r="C36" s="17">
        <v>2</v>
      </c>
      <c r="D36" s="18">
        <v>2</v>
      </c>
    </row>
    <row r="37" spans="1:4" ht="45.75" thickBot="1" x14ac:dyDescent="0.3">
      <c r="A37" s="4" t="s">
        <v>24</v>
      </c>
      <c r="B37" s="15" t="s">
        <v>178</v>
      </c>
      <c r="C37" s="17">
        <v>0</v>
      </c>
      <c r="D37" s="18">
        <v>2</v>
      </c>
    </row>
    <row r="38" spans="1:4" ht="41.25" thickBot="1" x14ac:dyDescent="0.3">
      <c r="A38" s="4" t="s">
        <v>27</v>
      </c>
      <c r="B38" s="16" t="s">
        <v>179</v>
      </c>
      <c r="C38" s="17">
        <v>0</v>
      </c>
      <c r="D38" s="18">
        <v>2</v>
      </c>
    </row>
    <row r="39" spans="1:4" ht="41.25" thickBot="1" x14ac:dyDescent="0.3">
      <c r="A39" s="4" t="s">
        <v>27</v>
      </c>
      <c r="B39" s="15" t="s">
        <v>180</v>
      </c>
      <c r="C39" s="17">
        <v>1</v>
      </c>
      <c r="D39" s="18">
        <v>2</v>
      </c>
    </row>
    <row r="40" spans="1:4" ht="45.75" thickBot="1" x14ac:dyDescent="0.3">
      <c r="A40" s="4" t="s">
        <v>27</v>
      </c>
      <c r="B40" s="16" t="s">
        <v>181</v>
      </c>
      <c r="C40" s="17">
        <v>2</v>
      </c>
      <c r="D40" s="18">
        <v>2</v>
      </c>
    </row>
    <row r="41" spans="1:4" ht="60.75" thickBot="1" x14ac:dyDescent="0.3">
      <c r="A41" s="4" t="s">
        <v>27</v>
      </c>
      <c r="B41" s="15" t="s">
        <v>182</v>
      </c>
      <c r="C41" s="17">
        <v>0</v>
      </c>
      <c r="D41" s="18">
        <v>2</v>
      </c>
    </row>
    <row r="42" spans="1:4" ht="45.75" thickBot="1" x14ac:dyDescent="0.3">
      <c r="A42" s="4" t="s">
        <v>27</v>
      </c>
      <c r="B42" s="16" t="s">
        <v>183</v>
      </c>
      <c r="C42" s="17">
        <v>1</v>
      </c>
      <c r="D42" s="18">
        <v>2</v>
      </c>
    </row>
    <row r="43" spans="1:4" ht="30.75" thickBot="1" x14ac:dyDescent="0.3">
      <c r="A43" s="4" t="s">
        <v>30</v>
      </c>
      <c r="B43" s="15" t="s">
        <v>184</v>
      </c>
      <c r="C43" s="17">
        <v>2</v>
      </c>
      <c r="D43" s="18">
        <v>2</v>
      </c>
    </row>
    <row r="44" spans="1:4" ht="45.75" thickBot="1" x14ac:dyDescent="0.3">
      <c r="A44" s="4" t="s">
        <v>30</v>
      </c>
      <c r="B44" s="16" t="s">
        <v>185</v>
      </c>
      <c r="C44" s="17">
        <v>0</v>
      </c>
      <c r="D44" s="18">
        <v>2</v>
      </c>
    </row>
    <row r="45" spans="1:4" ht="30.75" thickBot="1" x14ac:dyDescent="0.3">
      <c r="A45" s="4" t="s">
        <v>30</v>
      </c>
      <c r="B45" s="15" t="s">
        <v>186</v>
      </c>
      <c r="C45" s="17">
        <v>1</v>
      </c>
      <c r="D45" s="18">
        <v>2</v>
      </c>
    </row>
  </sheetData>
  <dataValidations count="1">
    <dataValidation type="list" allowBlank="1" showInputMessage="1" showErrorMessage="1" sqref="C3:D45" xr:uid="{C7FAE416-CDA1-4F68-A343-E4C1AB2CD7E0}">
      <formula1>Score</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D5735-A1E4-46B5-9B49-FC09470882A2}">
  <sheetPr>
    <pageSetUpPr fitToPage="1"/>
  </sheetPr>
  <dimension ref="A1:K6"/>
  <sheetViews>
    <sheetView zoomScale="60" zoomScaleNormal="60" workbookViewId="0">
      <selection activeCell="B11" sqref="B11"/>
    </sheetView>
  </sheetViews>
  <sheetFormatPr defaultRowHeight="15" x14ac:dyDescent="0.25"/>
  <cols>
    <col min="1" max="1" width="20.7109375" style="41" customWidth="1"/>
    <col min="2" max="11" width="28" style="12" customWidth="1"/>
  </cols>
  <sheetData>
    <row r="1" spans="1:11" ht="24" x14ac:dyDescent="0.4">
      <c r="A1" s="64" t="s">
        <v>261</v>
      </c>
    </row>
    <row r="2" spans="1:11" ht="139.5" customHeight="1" x14ac:dyDescent="0.25">
      <c r="A2" s="42" t="s">
        <v>251</v>
      </c>
      <c r="B2" s="43" t="s">
        <v>92</v>
      </c>
      <c r="C2" s="43" t="s">
        <v>93</v>
      </c>
      <c r="D2" s="43" t="s">
        <v>94</v>
      </c>
      <c r="E2" s="43" t="s">
        <v>95</v>
      </c>
      <c r="F2" s="43" t="s">
        <v>96</v>
      </c>
      <c r="G2" s="43" t="s">
        <v>97</v>
      </c>
      <c r="H2" s="43" t="s">
        <v>98</v>
      </c>
      <c r="I2" s="43" t="s">
        <v>99</v>
      </c>
      <c r="J2" s="43" t="s">
        <v>100</v>
      </c>
      <c r="K2" s="43" t="s">
        <v>101</v>
      </c>
    </row>
    <row r="3" spans="1:11" ht="243.75" customHeight="1" x14ac:dyDescent="0.25">
      <c r="A3" s="44" t="s">
        <v>199</v>
      </c>
      <c r="B3" s="45" t="s">
        <v>200</v>
      </c>
      <c r="C3" s="45" t="s">
        <v>205</v>
      </c>
      <c r="D3" s="45" t="s">
        <v>201</v>
      </c>
      <c r="E3" s="45" t="s">
        <v>206</v>
      </c>
      <c r="F3" s="45" t="s">
        <v>207</v>
      </c>
      <c r="G3" s="45" t="s">
        <v>208</v>
      </c>
      <c r="H3" s="45" t="s">
        <v>209</v>
      </c>
      <c r="I3" s="45" t="s">
        <v>210</v>
      </c>
      <c r="J3" s="45" t="s">
        <v>211</v>
      </c>
      <c r="K3" s="45" t="s">
        <v>212</v>
      </c>
    </row>
    <row r="4" spans="1:11" ht="225" x14ac:dyDescent="0.25">
      <c r="A4" s="44" t="s">
        <v>202</v>
      </c>
      <c r="B4" s="45" t="s">
        <v>213</v>
      </c>
      <c r="C4" s="45" t="s">
        <v>259</v>
      </c>
      <c r="D4" s="45" t="s">
        <v>214</v>
      </c>
      <c r="E4" s="45" t="s">
        <v>215</v>
      </c>
      <c r="F4" s="45" t="s">
        <v>216</v>
      </c>
      <c r="G4" s="45" t="s">
        <v>217</v>
      </c>
      <c r="H4" s="45" t="s">
        <v>218</v>
      </c>
      <c r="I4" s="45" t="s">
        <v>219</v>
      </c>
      <c r="J4" s="45" t="s">
        <v>258</v>
      </c>
      <c r="K4" s="45" t="s">
        <v>260</v>
      </c>
    </row>
    <row r="5" spans="1:11" ht="195" x14ac:dyDescent="0.25">
      <c r="A5" s="44" t="s">
        <v>203</v>
      </c>
      <c r="B5" s="45" t="s">
        <v>220</v>
      </c>
      <c r="C5" s="45" t="s">
        <v>221</v>
      </c>
      <c r="D5" s="45" t="s">
        <v>222</v>
      </c>
      <c r="E5" s="45" t="s">
        <v>223</v>
      </c>
      <c r="F5" s="45" t="s">
        <v>224</v>
      </c>
      <c r="G5" s="45" t="s">
        <v>225</v>
      </c>
      <c r="H5" s="45" t="s">
        <v>226</v>
      </c>
      <c r="I5" s="45" t="s">
        <v>227</v>
      </c>
      <c r="J5" s="45" t="s">
        <v>228</v>
      </c>
      <c r="K5" s="45" t="s">
        <v>229</v>
      </c>
    </row>
    <row r="6" spans="1:11" ht="255" x14ac:dyDescent="0.25">
      <c r="A6" s="44" t="s">
        <v>204</v>
      </c>
      <c r="B6" s="45" t="s">
        <v>230</v>
      </c>
      <c r="C6" s="45" t="s">
        <v>231</v>
      </c>
      <c r="D6" s="45" t="s">
        <v>232</v>
      </c>
      <c r="E6" s="45" t="s">
        <v>233</v>
      </c>
      <c r="F6" s="45" t="s">
        <v>234</v>
      </c>
      <c r="G6" s="45" t="s">
        <v>235</v>
      </c>
      <c r="H6" s="45" t="s">
        <v>236</v>
      </c>
      <c r="I6" s="45" t="s">
        <v>237</v>
      </c>
      <c r="J6" s="45" t="s">
        <v>238</v>
      </c>
      <c r="K6" s="45" t="s">
        <v>239</v>
      </c>
    </row>
  </sheetData>
  <pageMargins left="0.25" right="0.25" top="0.75" bottom="0.75" header="0.3" footer="0.3"/>
  <pageSetup paperSize="8" scale="6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C8B20-ED7D-4ADB-ACD8-D953E43F30D6}">
  <sheetPr codeName="Blad5"/>
  <dimension ref="B2:M37"/>
  <sheetViews>
    <sheetView workbookViewId="0">
      <selection activeCell="D37" sqref="D37"/>
    </sheetView>
  </sheetViews>
  <sheetFormatPr defaultRowHeight="15" x14ac:dyDescent="0.25"/>
  <cols>
    <col min="2" max="2" width="17.7109375" customWidth="1"/>
    <col min="3" max="3" width="38.7109375" customWidth="1"/>
    <col min="4" max="4" width="12.5703125" customWidth="1"/>
    <col min="5" max="5" width="12.42578125" customWidth="1"/>
    <col min="6" max="6" width="13.140625" customWidth="1"/>
    <col min="7" max="7" width="13" customWidth="1"/>
    <col min="8" max="9" width="12.7109375" customWidth="1"/>
    <col min="10" max="10" width="12.140625" customWidth="1"/>
    <col min="11" max="11" width="12.28515625" customWidth="1"/>
    <col min="12" max="12" width="12" customWidth="1"/>
    <col min="13" max="13" width="13.140625" customWidth="1"/>
  </cols>
  <sheetData>
    <row r="2" spans="2:13" ht="111" customHeight="1" x14ac:dyDescent="0.25">
      <c r="B2" s="11" t="s">
        <v>90</v>
      </c>
      <c r="C2" s="11" t="s">
        <v>91</v>
      </c>
      <c r="D2" s="6" t="s">
        <v>92</v>
      </c>
      <c r="E2" s="6" t="s">
        <v>93</v>
      </c>
      <c r="F2" s="6" t="s">
        <v>94</v>
      </c>
      <c r="G2" s="6" t="s">
        <v>95</v>
      </c>
      <c r="H2" s="6" t="s">
        <v>96</v>
      </c>
      <c r="I2" s="6" t="s">
        <v>97</v>
      </c>
      <c r="J2" s="6" t="s">
        <v>98</v>
      </c>
      <c r="K2" s="6" t="s">
        <v>99</v>
      </c>
      <c r="L2" s="6" t="s">
        <v>100</v>
      </c>
      <c r="M2" s="6" t="s">
        <v>101</v>
      </c>
    </row>
    <row r="3" spans="2:13" ht="45" x14ac:dyDescent="0.25">
      <c r="B3" s="4" t="s">
        <v>9</v>
      </c>
      <c r="C3" s="5" t="s">
        <v>102</v>
      </c>
      <c r="D3" s="7" t="s">
        <v>108</v>
      </c>
      <c r="E3" s="7" t="s">
        <v>242</v>
      </c>
      <c r="F3" s="8" t="s">
        <v>104</v>
      </c>
      <c r="G3" s="8" t="s">
        <v>104</v>
      </c>
      <c r="H3" s="8" t="s">
        <v>105</v>
      </c>
      <c r="I3" s="8" t="s">
        <v>105</v>
      </c>
      <c r="J3" s="8" t="s">
        <v>105</v>
      </c>
      <c r="K3" s="8" t="s">
        <v>104</v>
      </c>
      <c r="L3" s="8" t="s">
        <v>104</v>
      </c>
      <c r="M3" s="8" t="s">
        <v>105</v>
      </c>
    </row>
    <row r="4" spans="2:13" ht="45" customHeight="1" x14ac:dyDescent="0.25">
      <c r="B4" s="4"/>
      <c r="C4" s="5" t="s">
        <v>106</v>
      </c>
      <c r="D4" s="7" t="s">
        <v>108</v>
      </c>
      <c r="E4" s="7" t="s">
        <v>242</v>
      </c>
      <c r="F4" s="8" t="s">
        <v>104</v>
      </c>
      <c r="G4" s="8" t="s">
        <v>104</v>
      </c>
      <c r="H4" s="8" t="s">
        <v>105</v>
      </c>
      <c r="I4" s="8" t="s">
        <v>105</v>
      </c>
      <c r="J4" s="8" t="s">
        <v>105</v>
      </c>
      <c r="K4" s="8" t="s">
        <v>104</v>
      </c>
      <c r="L4" s="8" t="s">
        <v>104</v>
      </c>
      <c r="M4" s="8" t="s">
        <v>105</v>
      </c>
    </row>
    <row r="5" spans="2:13" ht="43.5" customHeight="1" x14ac:dyDescent="0.25">
      <c r="B5" s="4"/>
      <c r="C5" s="5" t="s">
        <v>107</v>
      </c>
      <c r="D5" s="7" t="s">
        <v>240</v>
      </c>
      <c r="E5" s="7" t="s">
        <v>242</v>
      </c>
      <c r="F5" s="8" t="s">
        <v>104</v>
      </c>
      <c r="G5" s="8" t="s">
        <v>104</v>
      </c>
      <c r="H5" s="8" t="s">
        <v>104</v>
      </c>
      <c r="I5" s="8" t="s">
        <v>105</v>
      </c>
      <c r="J5" s="8" t="s">
        <v>104</v>
      </c>
      <c r="K5" s="8" t="s">
        <v>104</v>
      </c>
      <c r="L5" s="8" t="s">
        <v>108</v>
      </c>
      <c r="M5" s="8" t="s">
        <v>104</v>
      </c>
    </row>
    <row r="6" spans="2:13" ht="45" x14ac:dyDescent="0.25">
      <c r="B6" s="4"/>
      <c r="C6" s="5" t="s">
        <v>109</v>
      </c>
      <c r="D6" s="7" t="s">
        <v>108</v>
      </c>
      <c r="E6" s="7" t="s">
        <v>242</v>
      </c>
      <c r="F6" s="8" t="s">
        <v>104</v>
      </c>
      <c r="G6" s="8" t="s">
        <v>105</v>
      </c>
      <c r="H6" s="8" t="s">
        <v>105</v>
      </c>
      <c r="I6" s="8" t="s">
        <v>105</v>
      </c>
      <c r="J6" s="8" t="s">
        <v>105</v>
      </c>
      <c r="K6" s="8" t="s">
        <v>108</v>
      </c>
      <c r="L6" s="8" t="s">
        <v>108</v>
      </c>
      <c r="M6" s="8" t="s">
        <v>104</v>
      </c>
    </row>
    <row r="7" spans="2:13" ht="43.5" customHeight="1" x14ac:dyDescent="0.25">
      <c r="B7" s="4"/>
      <c r="C7" s="5" t="s">
        <v>110</v>
      </c>
      <c r="D7" s="7" t="s">
        <v>108</v>
      </c>
      <c r="E7" s="7" t="s">
        <v>242</v>
      </c>
      <c r="F7" s="8" t="s">
        <v>105</v>
      </c>
      <c r="G7" s="8" t="s">
        <v>104</v>
      </c>
      <c r="H7" s="8" t="s">
        <v>104</v>
      </c>
      <c r="I7" s="8" t="s">
        <v>105</v>
      </c>
      <c r="J7" s="8" t="s">
        <v>104</v>
      </c>
      <c r="K7" s="8" t="s">
        <v>108</v>
      </c>
      <c r="L7" s="8" t="s">
        <v>108</v>
      </c>
      <c r="M7" s="8" t="s">
        <v>105</v>
      </c>
    </row>
    <row r="8" spans="2:13" ht="45" x14ac:dyDescent="0.25">
      <c r="B8" s="4"/>
      <c r="C8" s="5" t="s">
        <v>111</v>
      </c>
      <c r="D8" s="7" t="s">
        <v>240</v>
      </c>
      <c r="E8" s="7" t="s">
        <v>242</v>
      </c>
      <c r="F8" s="8" t="s">
        <v>104</v>
      </c>
      <c r="G8" s="8" t="s">
        <v>104</v>
      </c>
      <c r="H8" s="8" t="s">
        <v>104</v>
      </c>
      <c r="I8" s="8" t="s">
        <v>105</v>
      </c>
      <c r="J8" s="8" t="s">
        <v>104</v>
      </c>
      <c r="K8" s="8" t="s">
        <v>104</v>
      </c>
      <c r="L8" s="8" t="s">
        <v>104</v>
      </c>
      <c r="M8" s="8" t="s">
        <v>105</v>
      </c>
    </row>
    <row r="9" spans="2:13" ht="45" customHeight="1" x14ac:dyDescent="0.25">
      <c r="B9" s="4" t="s">
        <v>12</v>
      </c>
      <c r="C9" s="5" t="s">
        <v>112</v>
      </c>
      <c r="D9" s="9" t="s">
        <v>241</v>
      </c>
      <c r="E9" s="10" t="s">
        <v>242</v>
      </c>
      <c r="F9" s="10" t="s">
        <v>104</v>
      </c>
      <c r="G9" s="10" t="s">
        <v>105</v>
      </c>
      <c r="H9" s="10" t="s">
        <v>104</v>
      </c>
      <c r="I9" s="10" t="s">
        <v>104</v>
      </c>
      <c r="J9" s="10" t="s">
        <v>108</v>
      </c>
      <c r="K9" s="10" t="s">
        <v>104</v>
      </c>
      <c r="L9" s="10" t="s">
        <v>105</v>
      </c>
      <c r="M9" s="10" t="s">
        <v>105</v>
      </c>
    </row>
    <row r="10" spans="2:13" ht="61.5" customHeight="1" x14ac:dyDescent="0.25">
      <c r="B10" s="4"/>
      <c r="C10" s="5" t="s">
        <v>113</v>
      </c>
      <c r="D10" s="9" t="s">
        <v>108</v>
      </c>
      <c r="E10" s="10" t="s">
        <v>242</v>
      </c>
      <c r="F10" s="10" t="s">
        <v>105</v>
      </c>
      <c r="G10" s="10" t="s">
        <v>108</v>
      </c>
      <c r="H10" s="10" t="s">
        <v>104</v>
      </c>
      <c r="I10" s="10" t="s">
        <v>108</v>
      </c>
      <c r="J10" s="10" t="s">
        <v>104</v>
      </c>
      <c r="K10" s="10" t="s">
        <v>104</v>
      </c>
      <c r="L10" s="10" t="s">
        <v>104</v>
      </c>
      <c r="M10" s="10" t="s">
        <v>105</v>
      </c>
    </row>
    <row r="11" spans="2:13" ht="60" customHeight="1" x14ac:dyDescent="0.25">
      <c r="B11" s="4"/>
      <c r="C11" s="5" t="s">
        <v>114</v>
      </c>
      <c r="D11" s="10" t="s">
        <v>242</v>
      </c>
      <c r="E11" s="10" t="s">
        <v>242</v>
      </c>
      <c r="F11" s="10" t="s">
        <v>105</v>
      </c>
      <c r="G11" s="10" t="s">
        <v>104</v>
      </c>
      <c r="H11" s="10" t="s">
        <v>104</v>
      </c>
      <c r="I11" s="10" t="s">
        <v>104</v>
      </c>
      <c r="J11" s="10" t="s">
        <v>104</v>
      </c>
      <c r="K11" s="10" t="s">
        <v>104</v>
      </c>
      <c r="L11" s="10" t="s">
        <v>108</v>
      </c>
      <c r="M11" s="10" t="s">
        <v>105</v>
      </c>
    </row>
    <row r="12" spans="2:13" ht="87" customHeight="1" x14ac:dyDescent="0.25">
      <c r="B12" s="4"/>
      <c r="C12" s="5" t="s">
        <v>115</v>
      </c>
      <c r="D12" s="9" t="s">
        <v>108</v>
      </c>
      <c r="E12" s="10" t="s">
        <v>104</v>
      </c>
      <c r="F12" s="10" t="s">
        <v>103</v>
      </c>
      <c r="G12" s="10" t="s">
        <v>105</v>
      </c>
      <c r="H12" s="10" t="s">
        <v>105</v>
      </c>
      <c r="I12" s="10" t="s">
        <v>105</v>
      </c>
      <c r="J12" s="10" t="s">
        <v>105</v>
      </c>
      <c r="K12" s="10" t="s">
        <v>104</v>
      </c>
      <c r="L12" s="10" t="s">
        <v>108</v>
      </c>
      <c r="M12" s="10" t="s">
        <v>105</v>
      </c>
    </row>
    <row r="13" spans="2:13" ht="47.25" customHeight="1" x14ac:dyDescent="0.25">
      <c r="B13" s="4" t="s">
        <v>15</v>
      </c>
      <c r="C13" s="5" t="s">
        <v>116</v>
      </c>
      <c r="D13" s="7" t="s">
        <v>105</v>
      </c>
      <c r="E13" s="8" t="s">
        <v>105</v>
      </c>
      <c r="F13" s="8" t="s">
        <v>105</v>
      </c>
      <c r="G13" s="8" t="s">
        <v>108</v>
      </c>
      <c r="H13" s="8" t="s">
        <v>108</v>
      </c>
      <c r="I13" s="8" t="s">
        <v>105</v>
      </c>
      <c r="J13" s="8" t="s">
        <v>108</v>
      </c>
      <c r="K13" s="8" t="s">
        <v>105</v>
      </c>
      <c r="L13" s="8" t="s">
        <v>105</v>
      </c>
      <c r="M13" s="8" t="s">
        <v>104</v>
      </c>
    </row>
    <row r="14" spans="2:13" ht="33" customHeight="1" x14ac:dyDescent="0.25">
      <c r="B14" s="4"/>
      <c r="C14" s="5" t="s">
        <v>117</v>
      </c>
      <c r="D14" s="7" t="s">
        <v>105</v>
      </c>
      <c r="E14" s="8" t="s">
        <v>105</v>
      </c>
      <c r="F14" s="8" t="s">
        <v>105</v>
      </c>
      <c r="G14" s="8" t="s">
        <v>105</v>
      </c>
      <c r="H14" s="8" t="s">
        <v>104</v>
      </c>
      <c r="I14" s="8" t="s">
        <v>105</v>
      </c>
      <c r="J14" s="8" t="s">
        <v>108</v>
      </c>
      <c r="K14" s="8" t="s">
        <v>105</v>
      </c>
      <c r="L14" s="8" t="s">
        <v>105</v>
      </c>
      <c r="M14" s="8" t="s">
        <v>104</v>
      </c>
    </row>
    <row r="15" spans="2:13" ht="42.75" customHeight="1" x14ac:dyDescent="0.25">
      <c r="B15" s="4"/>
      <c r="C15" s="5" t="s">
        <v>118</v>
      </c>
      <c r="D15" s="7" t="s">
        <v>105</v>
      </c>
      <c r="E15" s="8" t="s">
        <v>105</v>
      </c>
      <c r="F15" s="8" t="s">
        <v>105</v>
      </c>
      <c r="G15" s="8" t="s">
        <v>105</v>
      </c>
      <c r="H15" s="8" t="s">
        <v>108</v>
      </c>
      <c r="I15" s="8" t="s">
        <v>105</v>
      </c>
      <c r="J15" s="8" t="s">
        <v>108</v>
      </c>
      <c r="K15" s="8" t="s">
        <v>105</v>
      </c>
      <c r="L15" s="8" t="s">
        <v>105</v>
      </c>
      <c r="M15" s="8" t="s">
        <v>105</v>
      </c>
    </row>
    <row r="16" spans="2:13" ht="30" x14ac:dyDescent="0.25">
      <c r="B16" s="4"/>
      <c r="C16" s="5" t="s">
        <v>119</v>
      </c>
      <c r="D16" s="7" t="s">
        <v>105</v>
      </c>
      <c r="E16" s="8" t="s">
        <v>105</v>
      </c>
      <c r="F16" s="8" t="s">
        <v>105</v>
      </c>
      <c r="G16" s="8" t="s">
        <v>104</v>
      </c>
      <c r="H16" s="8" t="s">
        <v>104</v>
      </c>
      <c r="I16" s="8" t="s">
        <v>105</v>
      </c>
      <c r="J16" s="8" t="s">
        <v>104</v>
      </c>
      <c r="K16" s="8" t="s">
        <v>105</v>
      </c>
      <c r="L16" s="8" t="s">
        <v>105</v>
      </c>
      <c r="M16" s="8" t="s">
        <v>104</v>
      </c>
    </row>
    <row r="17" spans="2:13" ht="27" x14ac:dyDescent="0.25">
      <c r="B17" s="4"/>
      <c r="C17" s="5" t="s">
        <v>120</v>
      </c>
      <c r="D17" s="7" t="s">
        <v>105</v>
      </c>
      <c r="E17" s="8" t="s">
        <v>105</v>
      </c>
      <c r="F17" s="8" t="s">
        <v>105</v>
      </c>
      <c r="G17" s="8" t="s">
        <v>108</v>
      </c>
      <c r="H17" s="8" t="s">
        <v>104</v>
      </c>
      <c r="I17" s="8" t="s">
        <v>105</v>
      </c>
      <c r="J17" s="8" t="s">
        <v>105</v>
      </c>
      <c r="K17" s="8" t="s">
        <v>105</v>
      </c>
      <c r="L17" s="8" t="s">
        <v>105</v>
      </c>
      <c r="M17" s="8" t="s">
        <v>105</v>
      </c>
    </row>
    <row r="18" spans="2:13" ht="59.25" customHeight="1" x14ac:dyDescent="0.25">
      <c r="B18" s="4"/>
      <c r="C18" s="5" t="s">
        <v>121</v>
      </c>
      <c r="D18" s="7" t="s">
        <v>108</v>
      </c>
      <c r="E18" s="8" t="s">
        <v>104</v>
      </c>
      <c r="F18" s="8" t="s">
        <v>105</v>
      </c>
      <c r="G18" s="8" t="s">
        <v>108</v>
      </c>
      <c r="H18" s="8" t="s">
        <v>104</v>
      </c>
      <c r="I18" s="8" t="s">
        <v>104</v>
      </c>
      <c r="J18" s="8" t="s">
        <v>104</v>
      </c>
      <c r="K18" s="8" t="s">
        <v>105</v>
      </c>
      <c r="L18" s="8" t="s">
        <v>105</v>
      </c>
      <c r="M18" s="8" t="s">
        <v>105</v>
      </c>
    </row>
    <row r="19" spans="2:13" ht="40.5" x14ac:dyDescent="0.25">
      <c r="B19" s="4" t="s">
        <v>18</v>
      </c>
      <c r="C19" s="5" t="s">
        <v>122</v>
      </c>
      <c r="D19" s="9" t="s">
        <v>104</v>
      </c>
      <c r="E19" s="10" t="s">
        <v>104</v>
      </c>
      <c r="F19" s="10" t="s">
        <v>105</v>
      </c>
      <c r="G19" s="10" t="s">
        <v>105</v>
      </c>
      <c r="H19" s="10" t="s">
        <v>105</v>
      </c>
      <c r="I19" s="10" t="s">
        <v>105</v>
      </c>
      <c r="J19" s="10" t="s">
        <v>104</v>
      </c>
      <c r="K19" s="10" t="s">
        <v>104</v>
      </c>
      <c r="L19" s="10" t="s">
        <v>105</v>
      </c>
      <c r="M19" s="10" t="s">
        <v>105</v>
      </c>
    </row>
    <row r="20" spans="2:13" ht="40.5" x14ac:dyDescent="0.25">
      <c r="B20" s="4"/>
      <c r="C20" s="5" t="s">
        <v>123</v>
      </c>
      <c r="D20" s="9" t="s">
        <v>104</v>
      </c>
      <c r="E20" s="10" t="s">
        <v>104</v>
      </c>
      <c r="F20" s="10" t="s">
        <v>104</v>
      </c>
      <c r="G20" s="10" t="s">
        <v>105</v>
      </c>
      <c r="H20" s="10" t="s">
        <v>105</v>
      </c>
      <c r="I20" s="10" t="s">
        <v>105</v>
      </c>
      <c r="J20" s="10" t="s">
        <v>105</v>
      </c>
      <c r="K20" s="10" t="s">
        <v>104</v>
      </c>
      <c r="L20" s="10" t="s">
        <v>105</v>
      </c>
      <c r="M20" s="10" t="s">
        <v>105</v>
      </c>
    </row>
    <row r="21" spans="2:13" ht="40.5" x14ac:dyDescent="0.25">
      <c r="B21" s="4"/>
      <c r="C21" s="5" t="s">
        <v>124</v>
      </c>
      <c r="D21" s="9" t="s">
        <v>104</v>
      </c>
      <c r="E21" s="10" t="s">
        <v>104</v>
      </c>
      <c r="F21" s="10" t="s">
        <v>104</v>
      </c>
      <c r="G21" s="10" t="s">
        <v>105</v>
      </c>
      <c r="H21" s="10" t="s">
        <v>105</v>
      </c>
      <c r="I21" s="10" t="s">
        <v>105</v>
      </c>
      <c r="J21" s="10" t="s">
        <v>104</v>
      </c>
      <c r="K21" s="10" t="s">
        <v>105</v>
      </c>
      <c r="L21" s="10" t="s">
        <v>105</v>
      </c>
      <c r="M21" s="10" t="s">
        <v>105</v>
      </c>
    </row>
    <row r="22" spans="2:13" ht="54" x14ac:dyDescent="0.25">
      <c r="B22" s="4"/>
      <c r="C22" s="5" t="s">
        <v>125</v>
      </c>
      <c r="D22" s="9" t="s">
        <v>104</v>
      </c>
      <c r="E22" s="10" t="s">
        <v>104</v>
      </c>
      <c r="F22" s="10" t="s">
        <v>105</v>
      </c>
      <c r="G22" s="10" t="s">
        <v>104</v>
      </c>
      <c r="H22" s="10" t="s">
        <v>105</v>
      </c>
      <c r="I22" s="10" t="s">
        <v>105</v>
      </c>
      <c r="J22" s="10" t="s">
        <v>104</v>
      </c>
      <c r="K22" s="10" t="s">
        <v>108</v>
      </c>
      <c r="L22" s="10" t="s">
        <v>108</v>
      </c>
      <c r="M22" s="10" t="s">
        <v>104</v>
      </c>
    </row>
    <row r="23" spans="2:13" ht="40.5" x14ac:dyDescent="0.25">
      <c r="B23" s="4"/>
      <c r="C23" s="5" t="s">
        <v>126</v>
      </c>
      <c r="D23" s="9" t="s">
        <v>105</v>
      </c>
      <c r="E23" s="10" t="s">
        <v>104</v>
      </c>
      <c r="F23" s="10" t="s">
        <v>104</v>
      </c>
      <c r="G23" s="10" t="s">
        <v>105</v>
      </c>
      <c r="H23" s="10" t="s">
        <v>105</v>
      </c>
      <c r="I23" s="10" t="s">
        <v>105</v>
      </c>
      <c r="J23" s="10" t="s">
        <v>105</v>
      </c>
      <c r="K23" s="10" t="s">
        <v>105</v>
      </c>
      <c r="L23" s="10" t="s">
        <v>105</v>
      </c>
      <c r="M23" s="10" t="s">
        <v>105</v>
      </c>
    </row>
    <row r="24" spans="2:13" ht="40.5" x14ac:dyDescent="0.25">
      <c r="B24" s="4" t="s">
        <v>21</v>
      </c>
      <c r="C24" s="5" t="s">
        <v>127</v>
      </c>
      <c r="D24" s="7" t="s">
        <v>105</v>
      </c>
      <c r="E24" s="8" t="s">
        <v>104</v>
      </c>
      <c r="F24" s="8" t="s">
        <v>104</v>
      </c>
      <c r="G24" s="8" t="s">
        <v>104</v>
      </c>
      <c r="H24" s="8" t="s">
        <v>105</v>
      </c>
      <c r="I24" s="8" t="s">
        <v>105</v>
      </c>
      <c r="J24" s="8" t="s">
        <v>105</v>
      </c>
      <c r="K24" s="8" t="s">
        <v>104</v>
      </c>
      <c r="L24" s="8" t="s">
        <v>105</v>
      </c>
      <c r="M24" s="8" t="s">
        <v>105</v>
      </c>
    </row>
    <row r="25" spans="2:13" ht="45" x14ac:dyDescent="0.25">
      <c r="B25" s="4"/>
      <c r="C25" s="5" t="s">
        <v>128</v>
      </c>
      <c r="D25" s="7" t="s">
        <v>242</v>
      </c>
      <c r="E25" s="7" t="s">
        <v>242</v>
      </c>
      <c r="F25" s="8" t="s">
        <v>104</v>
      </c>
      <c r="G25" s="8" t="s">
        <v>104</v>
      </c>
      <c r="H25" s="8" t="s">
        <v>105</v>
      </c>
      <c r="I25" s="8" t="s">
        <v>105</v>
      </c>
      <c r="J25" s="8" t="s">
        <v>105</v>
      </c>
      <c r="K25" s="8" t="s">
        <v>104</v>
      </c>
      <c r="L25" s="8" t="s">
        <v>104</v>
      </c>
      <c r="M25" s="8" t="s">
        <v>105</v>
      </c>
    </row>
    <row r="26" spans="2:13" ht="40.5" x14ac:dyDescent="0.25">
      <c r="B26" s="4"/>
      <c r="C26" s="5" t="s">
        <v>129</v>
      </c>
      <c r="D26" s="7" t="s">
        <v>104</v>
      </c>
      <c r="E26" s="8" t="s">
        <v>104</v>
      </c>
      <c r="F26" s="8" t="s">
        <v>104</v>
      </c>
      <c r="G26" s="8" t="s">
        <v>104</v>
      </c>
      <c r="H26" s="8" t="s">
        <v>105</v>
      </c>
      <c r="I26" s="8" t="s">
        <v>105</v>
      </c>
      <c r="J26" s="8" t="s">
        <v>105</v>
      </c>
      <c r="K26" s="8" t="s">
        <v>104</v>
      </c>
      <c r="L26" s="8" t="s">
        <v>108</v>
      </c>
      <c r="M26" s="8" t="s">
        <v>104</v>
      </c>
    </row>
    <row r="27" spans="2:13" ht="30" x14ac:dyDescent="0.25">
      <c r="B27" s="4" t="s">
        <v>24</v>
      </c>
      <c r="C27" s="5" t="s">
        <v>130</v>
      </c>
      <c r="D27" s="9" t="s">
        <v>104</v>
      </c>
      <c r="E27" s="10" t="s">
        <v>104</v>
      </c>
      <c r="F27" s="10" t="s">
        <v>104</v>
      </c>
      <c r="G27" s="10" t="s">
        <v>104</v>
      </c>
      <c r="H27" s="10" t="s">
        <v>105</v>
      </c>
      <c r="I27" s="10" t="s">
        <v>105</v>
      </c>
      <c r="J27" s="10" t="s">
        <v>105</v>
      </c>
      <c r="K27" s="10" t="s">
        <v>104</v>
      </c>
      <c r="L27" s="10" t="s">
        <v>108</v>
      </c>
      <c r="M27" s="10" t="s">
        <v>104</v>
      </c>
    </row>
    <row r="28" spans="2:13" ht="67.5" x14ac:dyDescent="0.25">
      <c r="B28" s="4"/>
      <c r="C28" s="5" t="s">
        <v>131</v>
      </c>
      <c r="D28" s="9" t="s">
        <v>104</v>
      </c>
      <c r="E28" s="10" t="s">
        <v>104</v>
      </c>
      <c r="F28" s="10" t="s">
        <v>104</v>
      </c>
      <c r="G28" s="10" t="s">
        <v>104</v>
      </c>
      <c r="H28" s="10" t="s">
        <v>105</v>
      </c>
      <c r="I28" s="10" t="s">
        <v>105</v>
      </c>
      <c r="J28" s="10" t="s">
        <v>104</v>
      </c>
      <c r="K28" s="10" t="s">
        <v>104</v>
      </c>
      <c r="L28" s="10" t="s">
        <v>108</v>
      </c>
      <c r="M28" s="10" t="s">
        <v>108</v>
      </c>
    </row>
    <row r="29" spans="2:13" ht="40.5" x14ac:dyDescent="0.25">
      <c r="B29" s="4"/>
      <c r="C29" s="5" t="s">
        <v>132</v>
      </c>
      <c r="D29" s="9" t="s">
        <v>104</v>
      </c>
      <c r="E29" s="10" t="s">
        <v>104</v>
      </c>
      <c r="F29" s="10" t="s">
        <v>105</v>
      </c>
      <c r="G29" s="10" t="s">
        <v>104</v>
      </c>
      <c r="H29" s="10" t="s">
        <v>105</v>
      </c>
      <c r="I29" s="10" t="s">
        <v>105</v>
      </c>
      <c r="J29" s="10" t="s">
        <v>104</v>
      </c>
      <c r="K29" s="10" t="s">
        <v>108</v>
      </c>
      <c r="L29" s="10" t="s">
        <v>108</v>
      </c>
      <c r="M29" s="10" t="s">
        <v>108</v>
      </c>
    </row>
    <row r="30" spans="2:13" ht="45" x14ac:dyDescent="0.25">
      <c r="B30" s="4"/>
      <c r="C30" s="5" t="s">
        <v>133</v>
      </c>
      <c r="D30" s="9" t="s">
        <v>240</v>
      </c>
      <c r="E30" s="9" t="s">
        <v>240</v>
      </c>
      <c r="F30" s="10" t="s">
        <v>104</v>
      </c>
      <c r="G30" s="10" t="s">
        <v>105</v>
      </c>
      <c r="H30" s="10" t="s">
        <v>105</v>
      </c>
      <c r="I30" s="10" t="s">
        <v>105</v>
      </c>
      <c r="J30" s="10" t="s">
        <v>105</v>
      </c>
      <c r="K30" s="10" t="s">
        <v>104</v>
      </c>
      <c r="L30" s="10" t="s">
        <v>104</v>
      </c>
      <c r="M30" s="10" t="s">
        <v>104</v>
      </c>
    </row>
    <row r="31" spans="2:13" ht="45" x14ac:dyDescent="0.25">
      <c r="B31" s="4"/>
      <c r="C31" s="5" t="s">
        <v>134</v>
      </c>
      <c r="D31" s="9" t="s">
        <v>240</v>
      </c>
      <c r="E31" s="9" t="s">
        <v>240</v>
      </c>
      <c r="F31" s="10" t="s">
        <v>104</v>
      </c>
      <c r="G31" s="10" t="s">
        <v>105</v>
      </c>
      <c r="H31" s="10" t="s">
        <v>105</v>
      </c>
      <c r="I31" s="10" t="s">
        <v>105</v>
      </c>
      <c r="J31" s="10" t="s">
        <v>104</v>
      </c>
      <c r="K31" s="10" t="s">
        <v>104</v>
      </c>
      <c r="L31" s="10" t="s">
        <v>108</v>
      </c>
      <c r="M31" s="10" t="s">
        <v>108</v>
      </c>
    </row>
    <row r="32" spans="2:13" ht="45" x14ac:dyDescent="0.25">
      <c r="B32" s="4" t="s">
        <v>27</v>
      </c>
      <c r="C32" s="5" t="s">
        <v>135</v>
      </c>
      <c r="D32" s="7" t="s">
        <v>108</v>
      </c>
      <c r="E32" s="8" t="s">
        <v>240</v>
      </c>
      <c r="F32" s="8" t="s">
        <v>105</v>
      </c>
      <c r="G32" s="8" t="s">
        <v>104</v>
      </c>
      <c r="H32" s="8" t="s">
        <v>104</v>
      </c>
      <c r="I32" s="8" t="s">
        <v>108</v>
      </c>
      <c r="J32" s="8" t="s">
        <v>108</v>
      </c>
      <c r="K32" s="8" t="s">
        <v>105</v>
      </c>
      <c r="L32" s="8" t="s">
        <v>105</v>
      </c>
      <c r="M32" s="8" t="s">
        <v>105</v>
      </c>
    </row>
    <row r="33" spans="2:13" ht="30" x14ac:dyDescent="0.25">
      <c r="B33" s="4"/>
      <c r="C33" s="5" t="s">
        <v>136</v>
      </c>
      <c r="D33" s="7" t="s">
        <v>104</v>
      </c>
      <c r="E33" s="8" t="s">
        <v>104</v>
      </c>
      <c r="F33" s="8" t="s">
        <v>105</v>
      </c>
      <c r="G33" s="8" t="s">
        <v>104</v>
      </c>
      <c r="H33" s="8" t="s">
        <v>104</v>
      </c>
      <c r="I33" s="8" t="s">
        <v>108</v>
      </c>
      <c r="J33" s="8" t="s">
        <v>108</v>
      </c>
      <c r="K33" s="8" t="s">
        <v>105</v>
      </c>
      <c r="L33" s="8" t="s">
        <v>105</v>
      </c>
      <c r="M33" s="8" t="s">
        <v>105</v>
      </c>
    </row>
    <row r="34" spans="2:13" x14ac:dyDescent="0.25">
      <c r="B34" s="4"/>
      <c r="C34" s="5" t="s">
        <v>137</v>
      </c>
      <c r="D34" s="7" t="s">
        <v>105</v>
      </c>
      <c r="E34" s="8" t="s">
        <v>105</v>
      </c>
      <c r="F34" s="8" t="s">
        <v>105</v>
      </c>
      <c r="G34" s="8" t="s">
        <v>105</v>
      </c>
      <c r="H34" s="8" t="s">
        <v>104</v>
      </c>
      <c r="I34" s="8" t="s">
        <v>104</v>
      </c>
      <c r="J34" s="8" t="s">
        <v>105</v>
      </c>
      <c r="K34" s="8" t="s">
        <v>105</v>
      </c>
      <c r="L34" s="8" t="s">
        <v>105</v>
      </c>
      <c r="M34" s="8" t="s">
        <v>105</v>
      </c>
    </row>
    <row r="35" spans="2:13" ht="30" x14ac:dyDescent="0.25">
      <c r="B35" s="4"/>
      <c r="C35" s="5" t="s">
        <v>138</v>
      </c>
      <c r="D35" s="7" t="s">
        <v>104</v>
      </c>
      <c r="E35" s="8" t="s">
        <v>104</v>
      </c>
      <c r="F35" s="8" t="s">
        <v>105</v>
      </c>
      <c r="G35" s="8" t="s">
        <v>108</v>
      </c>
      <c r="H35" s="8" t="s">
        <v>104</v>
      </c>
      <c r="I35" s="8" t="s">
        <v>105</v>
      </c>
      <c r="J35" s="8" t="s">
        <v>108</v>
      </c>
      <c r="K35" s="8" t="s">
        <v>105</v>
      </c>
      <c r="L35" s="8" t="s">
        <v>105</v>
      </c>
      <c r="M35" s="8" t="s">
        <v>105</v>
      </c>
    </row>
    <row r="36" spans="2:13" ht="30" x14ac:dyDescent="0.25">
      <c r="B36" s="4" t="s">
        <v>30</v>
      </c>
      <c r="C36" s="5" t="s">
        <v>139</v>
      </c>
      <c r="D36" s="9" t="s">
        <v>104</v>
      </c>
      <c r="E36" s="10" t="s">
        <v>104</v>
      </c>
      <c r="F36" s="10" t="s">
        <v>104</v>
      </c>
      <c r="G36" s="10" t="s">
        <v>105</v>
      </c>
      <c r="H36" s="10" t="s">
        <v>105</v>
      </c>
      <c r="I36" s="10" t="s">
        <v>105</v>
      </c>
      <c r="J36" s="10" t="s">
        <v>105</v>
      </c>
      <c r="K36" s="10" t="s">
        <v>104</v>
      </c>
      <c r="L36" s="10" t="s">
        <v>105</v>
      </c>
      <c r="M36" s="10" t="s">
        <v>105</v>
      </c>
    </row>
    <row r="37" spans="2:13" ht="30" x14ac:dyDescent="0.25">
      <c r="B37" s="4"/>
      <c r="C37" s="5" t="s">
        <v>140</v>
      </c>
      <c r="D37" s="9" t="s">
        <v>104</v>
      </c>
      <c r="E37" s="10" t="s">
        <v>104</v>
      </c>
      <c r="F37" s="10" t="s">
        <v>104</v>
      </c>
      <c r="G37" s="10" t="s">
        <v>105</v>
      </c>
      <c r="H37" s="10" t="s">
        <v>105</v>
      </c>
      <c r="I37" s="10" t="s">
        <v>105</v>
      </c>
      <c r="J37" s="10" t="s">
        <v>105</v>
      </c>
      <c r="K37" s="10" t="s">
        <v>104</v>
      </c>
      <c r="L37" s="10" t="s">
        <v>105</v>
      </c>
      <c r="M37" s="10" t="s">
        <v>105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C5944-AE67-4B43-82E0-97E03D9E64E0}">
  <sheetPr codeName="Blad6"/>
  <dimension ref="A1:K10"/>
  <sheetViews>
    <sheetView workbookViewId="0">
      <selection activeCell="A2" sqref="A2"/>
    </sheetView>
  </sheetViews>
  <sheetFormatPr defaultRowHeight="15" x14ac:dyDescent="0.25"/>
  <cols>
    <col min="1" max="1" width="38.140625" customWidth="1"/>
  </cols>
  <sheetData>
    <row r="1" spans="1:11" ht="18.75" customHeight="1" x14ac:dyDescent="0.25">
      <c r="A1" s="42" t="s">
        <v>255</v>
      </c>
      <c r="B1" s="58" t="s">
        <v>141</v>
      </c>
      <c r="C1" s="42"/>
      <c r="D1" s="42"/>
      <c r="E1" s="42"/>
      <c r="F1" s="42"/>
      <c r="G1" s="42"/>
      <c r="H1" s="42"/>
      <c r="I1" s="42"/>
      <c r="J1" s="42"/>
      <c r="K1" s="42"/>
    </row>
    <row r="2" spans="1:11" ht="91.5" x14ac:dyDescent="0.25">
      <c r="A2" s="42" t="s">
        <v>90</v>
      </c>
      <c r="B2" s="59" t="s">
        <v>92</v>
      </c>
      <c r="C2" s="59" t="s">
        <v>93</v>
      </c>
      <c r="D2" s="59" t="s">
        <v>94</v>
      </c>
      <c r="E2" s="59" t="s">
        <v>95</v>
      </c>
      <c r="F2" s="59" t="s">
        <v>142</v>
      </c>
      <c r="G2" s="59" t="s">
        <v>97</v>
      </c>
      <c r="H2" s="59" t="s">
        <v>98</v>
      </c>
      <c r="I2" s="59" t="s">
        <v>99</v>
      </c>
      <c r="J2" s="59" t="s">
        <v>100</v>
      </c>
      <c r="K2" s="59" t="s">
        <v>101</v>
      </c>
    </row>
    <row r="3" spans="1:11" ht="21" x14ac:dyDescent="0.35">
      <c r="A3" s="42" t="s">
        <v>9</v>
      </c>
      <c r="B3" s="56" t="s">
        <v>143</v>
      </c>
      <c r="C3" s="56" t="s">
        <v>143</v>
      </c>
      <c r="D3" s="57" t="s">
        <v>144</v>
      </c>
      <c r="E3" s="57" t="s">
        <v>144</v>
      </c>
      <c r="F3" s="56" t="s">
        <v>105</v>
      </c>
      <c r="G3" s="56" t="s">
        <v>105</v>
      </c>
      <c r="H3" s="56" t="s">
        <v>105</v>
      </c>
      <c r="I3" s="56" t="s">
        <v>143</v>
      </c>
      <c r="J3" s="56" t="s">
        <v>143</v>
      </c>
      <c r="K3" s="56" t="s">
        <v>105</v>
      </c>
    </row>
    <row r="4" spans="1:11" ht="21" x14ac:dyDescent="0.35">
      <c r="A4" s="42" t="s">
        <v>12</v>
      </c>
      <c r="B4" s="56" t="s">
        <v>143</v>
      </c>
      <c r="C4" s="56" t="s">
        <v>143</v>
      </c>
      <c r="D4" s="57" t="s">
        <v>144</v>
      </c>
      <c r="E4" s="57" t="s">
        <v>144</v>
      </c>
      <c r="F4" s="57" t="s">
        <v>144</v>
      </c>
      <c r="G4" s="57" t="s">
        <v>144</v>
      </c>
      <c r="H4" s="57" t="s">
        <v>144</v>
      </c>
      <c r="I4" s="57" t="s">
        <v>144</v>
      </c>
      <c r="J4" s="57" t="s">
        <v>144</v>
      </c>
      <c r="K4" s="56" t="s">
        <v>105</v>
      </c>
    </row>
    <row r="5" spans="1:11" ht="21" x14ac:dyDescent="0.35">
      <c r="A5" s="42" t="s">
        <v>15</v>
      </c>
      <c r="B5" s="57" t="s">
        <v>105</v>
      </c>
      <c r="C5" s="57" t="s">
        <v>105</v>
      </c>
      <c r="D5" s="57" t="s">
        <v>105</v>
      </c>
      <c r="E5" s="57" t="s">
        <v>144</v>
      </c>
      <c r="F5" s="56" t="s">
        <v>143</v>
      </c>
      <c r="G5" s="57" t="s">
        <v>105</v>
      </c>
      <c r="H5" s="56" t="s">
        <v>143</v>
      </c>
      <c r="I5" s="57" t="s">
        <v>105</v>
      </c>
      <c r="J5" s="57" t="s">
        <v>105</v>
      </c>
      <c r="K5" s="57" t="s">
        <v>105</v>
      </c>
    </row>
    <row r="6" spans="1:11" ht="21" x14ac:dyDescent="0.35">
      <c r="A6" s="42" t="s">
        <v>18</v>
      </c>
      <c r="B6" s="56" t="s">
        <v>143</v>
      </c>
      <c r="C6" s="56" t="s">
        <v>143</v>
      </c>
      <c r="D6" s="57" t="s">
        <v>144</v>
      </c>
      <c r="E6" s="56" t="s">
        <v>105</v>
      </c>
      <c r="F6" s="56" t="s">
        <v>105</v>
      </c>
      <c r="G6" s="56" t="s">
        <v>105</v>
      </c>
      <c r="H6" s="56" t="s">
        <v>105</v>
      </c>
      <c r="I6" s="57" t="s">
        <v>144</v>
      </c>
      <c r="J6" s="56" t="s">
        <v>105</v>
      </c>
      <c r="K6" s="56" t="s">
        <v>105</v>
      </c>
    </row>
    <row r="7" spans="1:11" ht="21" x14ac:dyDescent="0.35">
      <c r="A7" s="42" t="s">
        <v>21</v>
      </c>
      <c r="B7" s="57" t="s">
        <v>144</v>
      </c>
      <c r="C7" s="56" t="s">
        <v>143</v>
      </c>
      <c r="D7" s="57" t="s">
        <v>144</v>
      </c>
      <c r="E7" s="57" t="s">
        <v>144</v>
      </c>
      <c r="F7" s="57" t="s">
        <v>105</v>
      </c>
      <c r="G7" s="57" t="s">
        <v>105</v>
      </c>
      <c r="H7" s="57" t="s">
        <v>105</v>
      </c>
      <c r="I7" s="57" t="s">
        <v>144</v>
      </c>
      <c r="J7" s="57" t="s">
        <v>144</v>
      </c>
      <c r="K7" s="57" t="s">
        <v>105</v>
      </c>
    </row>
    <row r="8" spans="1:11" ht="21" x14ac:dyDescent="0.35">
      <c r="A8" s="42" t="s">
        <v>24</v>
      </c>
      <c r="B8" s="56" t="s">
        <v>143</v>
      </c>
      <c r="C8" s="56" t="s">
        <v>143</v>
      </c>
      <c r="D8" s="57" t="s">
        <v>144</v>
      </c>
      <c r="E8" s="56" t="s">
        <v>105</v>
      </c>
      <c r="F8" s="56" t="s">
        <v>105</v>
      </c>
      <c r="G8" s="56" t="s">
        <v>105</v>
      </c>
      <c r="H8" s="56" t="s">
        <v>105</v>
      </c>
      <c r="I8" s="56" t="s">
        <v>143</v>
      </c>
      <c r="J8" s="56" t="s">
        <v>143</v>
      </c>
      <c r="K8" s="56" t="s">
        <v>143</v>
      </c>
    </row>
    <row r="9" spans="1:11" ht="21" x14ac:dyDescent="0.35">
      <c r="A9" s="42" t="s">
        <v>27</v>
      </c>
      <c r="B9" s="56" t="s">
        <v>143</v>
      </c>
      <c r="C9" s="56" t="s">
        <v>143</v>
      </c>
      <c r="D9" s="56" t="s">
        <v>105</v>
      </c>
      <c r="E9" s="57" t="s">
        <v>144</v>
      </c>
      <c r="F9" s="57" t="s">
        <v>144</v>
      </c>
      <c r="G9" s="56" t="s">
        <v>143</v>
      </c>
      <c r="H9" s="56" t="s">
        <v>143</v>
      </c>
      <c r="I9" s="56" t="s">
        <v>105</v>
      </c>
      <c r="J9" s="56" t="s">
        <v>105</v>
      </c>
      <c r="K9" s="56" t="s">
        <v>105</v>
      </c>
    </row>
    <row r="10" spans="1:11" ht="21" x14ac:dyDescent="0.35">
      <c r="A10" s="42" t="s">
        <v>30</v>
      </c>
      <c r="B10" s="56" t="s">
        <v>143</v>
      </c>
      <c r="C10" s="56" t="s">
        <v>143</v>
      </c>
      <c r="D10" s="57" t="s">
        <v>144</v>
      </c>
      <c r="E10" s="56" t="s">
        <v>105</v>
      </c>
      <c r="F10" s="56" t="s">
        <v>105</v>
      </c>
      <c r="G10" s="56" t="s">
        <v>105</v>
      </c>
      <c r="H10" s="56" t="s">
        <v>105</v>
      </c>
      <c r="I10" s="57" t="s">
        <v>144</v>
      </c>
      <c r="J10" s="56" t="s">
        <v>105</v>
      </c>
      <c r="K10" s="56" t="s">
        <v>105</v>
      </c>
    </row>
  </sheetData>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DC9D60C56F3E4C89524FD01EBF5FFD" ma:contentTypeVersion="9" ma:contentTypeDescription="Een nieuw document maken." ma:contentTypeScope="" ma:versionID="4019310543dc37bca7daf758a59d44ff">
  <xsd:schema xmlns:xsd="http://www.w3.org/2001/XMLSchema" xmlns:xs="http://www.w3.org/2001/XMLSchema" xmlns:p="http://schemas.microsoft.com/office/2006/metadata/properties" xmlns:ns2="39765fc2-002d-4d1d-9fab-18c8b504ade3" targetNamespace="http://schemas.microsoft.com/office/2006/metadata/properties" ma:root="true" ma:fieldsID="0023644b256e88d4f6de226514d68d4d" ns2:_="">
    <xsd:import namespace="39765fc2-002d-4d1d-9fab-18c8b504ad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765fc2-002d-4d1d-9fab-18c8b504ad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9c7c09b2-56ce-4322-8306-710956ff9e79"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765fc2-002d-4d1d-9fab-18c8b504ade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67B9478-04B5-4810-BE00-490EAB2FE1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765fc2-002d-4d1d-9fab-18c8b504ad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CD2DB9-B578-4674-B68C-6BA928CD8543}">
  <ds:schemaRefs>
    <ds:schemaRef ds:uri="http://schemas.microsoft.com/sharepoint/v3/contenttype/forms"/>
  </ds:schemaRefs>
</ds:datastoreItem>
</file>

<file path=customXml/itemProps3.xml><?xml version="1.0" encoding="utf-8"?>
<ds:datastoreItem xmlns:ds="http://schemas.openxmlformats.org/officeDocument/2006/customXml" ds:itemID="{90C6675C-A7A4-43FC-AC8F-A35B58A0516D}">
  <ds:schemaRefs>
    <ds:schemaRef ds:uri="http://schemas.microsoft.com/office/2006/metadata/properties"/>
    <ds:schemaRef ds:uri="http://schemas.microsoft.com/office/infopath/2007/PartnerControls"/>
    <ds:schemaRef ds:uri="39765fc2-002d-4d1d-9fab-18c8b504ade3"/>
  </ds:schemaRefs>
</ds:datastoreItem>
</file>

<file path=docMetadata/LabelInfo.xml><?xml version="1.0" encoding="utf-8"?>
<clbl:labelList xmlns:clbl="http://schemas.microsoft.com/office/2020/mipLabelMetadata">
  <clbl:label id="{521b6238-8359-4a58-8064-607e0430c4c4}" enabled="1" method="Standard" siteId="{150cfa2a-f5d3-460a-ae30-e92179b1b1a9}" removed="0"/>
  <clbl:label id="{a5dcafdf-6d45-4e12-8512-8280e6a09d88}" enabled="1" method="Standard" siteId="{9e3ee5fe-3a99-45db-ac6e-691e86febe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8</vt:i4>
      </vt:variant>
      <vt:variant>
        <vt:lpstr>Benoemde bereiken</vt:lpstr>
      </vt:variant>
      <vt:variant>
        <vt:i4>1</vt:i4>
      </vt:variant>
    </vt:vector>
  </HeadingPairs>
  <TitlesOfParts>
    <vt:vector size="9" baseType="lpstr">
      <vt:lpstr>lees mij</vt:lpstr>
      <vt:lpstr>Dreigingen</vt:lpstr>
      <vt:lpstr>Dreigingsactoren</vt:lpstr>
      <vt:lpstr>Risk appetite</vt:lpstr>
      <vt:lpstr>Self-assessment</vt:lpstr>
      <vt:lpstr>Maatregelen</vt:lpstr>
      <vt:lpstr>Maatregeleffectiviteit</vt:lpstr>
      <vt:lpstr>Maatregeleffectiviteit (kort)</vt:lpstr>
      <vt:lpstr>'Self-assessment'!Score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Joost</dc:creator>
  <cp:keywords/>
  <dc:description/>
  <cp:lastModifiedBy>Melsen, Joost</cp:lastModifiedBy>
  <cp:revision/>
  <cp:lastPrinted>2026-09-29T05:30:18Z</cp:lastPrinted>
  <dcterms:created xsi:type="dcterms:W3CDTF">2025-09-15T15:02:05Z</dcterms:created>
  <dcterms:modified xsi:type="dcterms:W3CDTF">2026-09-29T05:30:21Z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0x010100F6DC9D60C56F3E4C89524FD01EBF5FFD</vt:lpwstr>
  </property>
  <property fmtid="{D5CDD505-2E9C-101B-9397-08002B2CF9AE}" pid="3" name="MediaServiceImageTags">
    <vt:lpwstr/>
  </property>
</Properties>
</file>